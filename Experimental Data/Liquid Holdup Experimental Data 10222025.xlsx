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42173035640/WOPIServiceId_TP_BOX_2/WOPIUserId_-/"/>
    </mc:Choice>
  </mc:AlternateContent>
  <xr:revisionPtr revIDLastSave="11" documentId="13_ncr:1_{F9BAF652-87D0-46D2-9CD2-2F3BA374CB91}" xr6:coauthVersionLast="47" xr6:coauthVersionMax="47" xr10:uidLastSave="{A0D90C55-C602-4426-89AB-C4D2119C3A74}"/>
  <bookViews>
    <workbookView xWindow="-120" yWindow="-120" windowWidth="29040" windowHeight="15840" xr2:uid="{39D0FC03-0C2B-4273-B323-225E19E4F6ED}"/>
  </bookViews>
  <sheets>
    <sheet name="Liquid Holdup 3LPM High" sheetId="1" r:id="rId1"/>
    <sheet name="Liquid Holdup 4.5LPM High" sheetId="2" r:id="rId2"/>
    <sheet name="Liquid Holdup 3LPM Med" sheetId="10" r:id="rId3"/>
    <sheet name="Liquid Holdup 4.5LPM Med" sheetId="11" r:id="rId4"/>
    <sheet name="Liquid Holdup 3LPM Low" sheetId="12" r:id="rId5"/>
    <sheet name="Liquid Holdup 4.5LPM Low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3" l="1"/>
  <c r="E14" i="13"/>
  <c r="F13" i="13"/>
  <c r="E13" i="13"/>
  <c r="F14" i="12"/>
  <c r="E14" i="12"/>
  <c r="F13" i="12"/>
  <c r="E13" i="12"/>
  <c r="F14" i="11"/>
  <c r="E14" i="11"/>
  <c r="F13" i="11"/>
  <c r="E13" i="11"/>
  <c r="F14" i="10"/>
  <c r="E14" i="10"/>
  <c r="F13" i="10"/>
  <c r="E13" i="10"/>
  <c r="F14" i="2"/>
  <c r="E14" i="2"/>
  <c r="F13" i="2"/>
  <c r="E13" i="2"/>
  <c r="E7" i="10"/>
  <c r="F7" i="10"/>
  <c r="E8" i="10"/>
  <c r="F8" i="10" s="1"/>
  <c r="E9" i="10"/>
  <c r="F9" i="10" s="1"/>
  <c r="E10" i="10"/>
  <c r="F10" i="10"/>
  <c r="E11" i="10"/>
  <c r="F11" i="10"/>
  <c r="F13" i="1" l="1"/>
  <c r="F14" i="1"/>
  <c r="E14" i="1"/>
  <c r="E13" i="1"/>
  <c r="E11" i="13"/>
  <c r="F11" i="13" s="1"/>
  <c r="E10" i="13"/>
  <c r="F10" i="13" s="1"/>
  <c r="E9" i="13"/>
  <c r="F9" i="13" s="1"/>
  <c r="E8" i="13"/>
  <c r="F8" i="13" s="1"/>
  <c r="E7" i="13"/>
  <c r="F7" i="13" s="1"/>
  <c r="E6" i="13"/>
  <c r="F6" i="13" s="1"/>
  <c r="E5" i="13"/>
  <c r="F5" i="13" s="1"/>
  <c r="E4" i="13"/>
  <c r="F4" i="13" s="1"/>
  <c r="E3" i="13"/>
  <c r="F3" i="13" s="1"/>
  <c r="E2" i="13"/>
  <c r="F2" i="13" s="1"/>
  <c r="E11" i="12"/>
  <c r="F11" i="12" s="1"/>
  <c r="E10" i="12"/>
  <c r="F10" i="12" s="1"/>
  <c r="E9" i="12"/>
  <c r="F9" i="12" s="1"/>
  <c r="E8" i="12"/>
  <c r="F8" i="12" s="1"/>
  <c r="E7" i="12"/>
  <c r="F7" i="12" s="1"/>
  <c r="E6" i="12"/>
  <c r="F6" i="12" s="1"/>
  <c r="E5" i="12"/>
  <c r="F5" i="12" s="1"/>
  <c r="E4" i="12"/>
  <c r="F4" i="12" s="1"/>
  <c r="E3" i="12"/>
  <c r="F3" i="12" s="1"/>
  <c r="E2" i="12"/>
  <c r="F2" i="12" s="1"/>
  <c r="E11" i="11"/>
  <c r="F11" i="11" s="1"/>
  <c r="E10" i="11"/>
  <c r="F10" i="11" s="1"/>
  <c r="E9" i="11"/>
  <c r="F9" i="11" s="1"/>
  <c r="E8" i="11"/>
  <c r="F8" i="11" s="1"/>
  <c r="E7" i="11"/>
  <c r="F7" i="11" s="1"/>
  <c r="E6" i="11"/>
  <c r="F6" i="11" s="1"/>
  <c r="E5" i="11"/>
  <c r="F5" i="11" s="1"/>
  <c r="E4" i="11"/>
  <c r="F4" i="11" s="1"/>
  <c r="E3" i="11"/>
  <c r="F3" i="11" s="1"/>
  <c r="E2" i="11"/>
  <c r="E6" i="10"/>
  <c r="F6" i="10" s="1"/>
  <c r="E5" i="10"/>
  <c r="F5" i="10" s="1"/>
  <c r="E4" i="10"/>
  <c r="F4" i="10" s="1"/>
  <c r="E3" i="10"/>
  <c r="F3" i="10" s="1"/>
  <c r="E2" i="10"/>
  <c r="F2" i="10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F2" i="2" s="1"/>
  <c r="F3" i="1"/>
  <c r="E3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F2" i="1"/>
  <c r="F2" i="11" l="1"/>
  <c r="E2" i="1"/>
</calcChain>
</file>

<file path=xl/sharedStrings.xml><?xml version="1.0" encoding="utf-8"?>
<sst xmlns="http://schemas.openxmlformats.org/spreadsheetml/2006/main" count="48" uniqueCount="8">
  <si>
    <t>Trial</t>
  </si>
  <si>
    <t>FloorScaleMass (kg)</t>
  </si>
  <si>
    <t>CollectionMass (kg)</t>
  </si>
  <si>
    <t>DownstreamPipingMass (kg)</t>
  </si>
  <si>
    <t>LiquidHoldupMass (kg)</t>
  </si>
  <si>
    <t>LiquidHoldupVolume (L)</t>
  </si>
  <si>
    <t>Average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</si>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</sst>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62C9-3608-43B3-8A37-A141E6865C25}">
  <dimension ref="A1:F14"/>
  <sheetViews>
    <sheetView tabSelected="1" workbookViewId="0">
      <selection activeCell="E28" sqref="E28"/>
    </sheetView>
  </sheetViews>
  <sheetFormatPr defaultColWidth="9.140625" defaultRowHeight="15" x14ac:dyDescent="0.25"/>
  <cols>
    <col min="1" max="1" width="9.140625" style="1"/>
    <col min="2" max="2" width="19.140625" style="1" bestFit="1" customWidth="1"/>
    <col min="3" max="3" width="18.7109375" style="1" bestFit="1" customWidth="1"/>
    <col min="4" max="4" width="26.85546875" style="1" bestFit="1" customWidth="1"/>
    <col min="5" max="5" width="21.85546875" style="1" bestFit="1" customWidth="1"/>
    <col min="6" max="6" width="22.71093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-0.54</v>
      </c>
      <c r="C2" s="1">
        <v>0.51200000000000001</v>
      </c>
      <c r="E2" s="1">
        <f>(B2+C2+D2)*-1</f>
        <v>2.8000000000000025E-2</v>
      </c>
      <c r="F2" s="1">
        <f>E2/0.998</f>
        <v>2.8056112224448922E-2</v>
      </c>
    </row>
    <row r="3" spans="1:6" x14ac:dyDescent="0.25">
      <c r="A3" s="1">
        <v>2</v>
      </c>
      <c r="B3" s="1">
        <v>-0.56000000000000005</v>
      </c>
      <c r="C3" s="1">
        <v>0.51600000000000001</v>
      </c>
      <c r="E3" s="1">
        <f t="shared" ref="E3:E11" si="0">(B3+C3+D3)*-1</f>
        <v>4.4000000000000039E-2</v>
      </c>
      <c r="F3" s="1">
        <f t="shared" ref="F3:F11" si="1">E3/0.998</f>
        <v>4.4088176352705448E-2</v>
      </c>
    </row>
    <row r="4" spans="1:6" x14ac:dyDescent="0.25">
      <c r="A4" s="1">
        <v>3</v>
      </c>
      <c r="B4" s="1">
        <v>-0.56000000000000005</v>
      </c>
      <c r="C4" s="1">
        <v>0.51100000000000001</v>
      </c>
      <c r="E4" s="1">
        <f t="shared" si="0"/>
        <v>4.9000000000000044E-2</v>
      </c>
      <c r="F4" s="1">
        <f t="shared" si="1"/>
        <v>4.9098196392785613E-2</v>
      </c>
    </row>
    <row r="5" spans="1:6" x14ac:dyDescent="0.25">
      <c r="A5" s="1">
        <v>4</v>
      </c>
      <c r="B5" s="1">
        <v>-0.56000000000000005</v>
      </c>
      <c r="C5" s="1">
        <v>0.52300000000000002</v>
      </c>
      <c r="E5" s="1">
        <f t="shared" si="0"/>
        <v>3.7000000000000033E-2</v>
      </c>
      <c r="F5" s="1">
        <f t="shared" si="1"/>
        <v>3.7074148296593216E-2</v>
      </c>
    </row>
    <row r="6" spans="1:6" x14ac:dyDescent="0.25">
      <c r="A6" s="1">
        <v>5</v>
      </c>
      <c r="B6" s="1">
        <v>-0.57999999999999996</v>
      </c>
      <c r="C6" s="1">
        <v>0.52100000000000002</v>
      </c>
      <c r="E6" s="1">
        <f t="shared" si="0"/>
        <v>5.8999999999999941E-2</v>
      </c>
      <c r="F6" s="1">
        <f t="shared" si="1"/>
        <v>5.9118236472945833E-2</v>
      </c>
    </row>
    <row r="7" spans="1:6" x14ac:dyDescent="0.25">
      <c r="A7" s="1">
        <v>6</v>
      </c>
      <c r="B7" s="1">
        <v>-0.57999999999999996</v>
      </c>
      <c r="C7" s="1">
        <v>0.53300000000000003</v>
      </c>
      <c r="E7" s="1">
        <f t="shared" si="0"/>
        <v>4.6999999999999931E-2</v>
      </c>
      <c r="F7" s="1">
        <f t="shared" si="1"/>
        <v>4.7094188376753436E-2</v>
      </c>
    </row>
    <row r="8" spans="1:6" x14ac:dyDescent="0.25">
      <c r="A8" s="1">
        <v>7</v>
      </c>
      <c r="B8" s="1">
        <v>-0.57999999999999996</v>
      </c>
      <c r="C8" s="1">
        <v>0.52100000000000002</v>
      </c>
      <c r="E8" s="1">
        <f t="shared" si="0"/>
        <v>5.8999999999999941E-2</v>
      </c>
      <c r="F8" s="1">
        <f t="shared" si="1"/>
        <v>5.9118236472945833E-2</v>
      </c>
    </row>
    <row r="9" spans="1:6" x14ac:dyDescent="0.25">
      <c r="A9" s="1">
        <v>8</v>
      </c>
      <c r="B9" s="1">
        <v>-0.57999999999999996</v>
      </c>
      <c r="C9" s="1">
        <v>0.51300000000000001</v>
      </c>
      <c r="E9" s="1">
        <f t="shared" si="0"/>
        <v>6.6999999999999948E-2</v>
      </c>
      <c r="F9" s="1">
        <f t="shared" si="1"/>
        <v>6.713426853707409E-2</v>
      </c>
    </row>
    <row r="10" spans="1:6" x14ac:dyDescent="0.25">
      <c r="A10" s="1">
        <v>9</v>
      </c>
      <c r="B10" s="1">
        <v>-0.57999999999999996</v>
      </c>
      <c r="C10" s="1">
        <v>0.52</v>
      </c>
      <c r="E10" s="1">
        <f t="shared" si="0"/>
        <v>5.9999999999999942E-2</v>
      </c>
      <c r="F10" s="1">
        <f t="shared" si="1"/>
        <v>6.0120240480961866E-2</v>
      </c>
    </row>
    <row r="11" spans="1:6" x14ac:dyDescent="0.25">
      <c r="A11" s="1">
        <v>10</v>
      </c>
      <c r="B11" s="1">
        <v>-0.57999999999999996</v>
      </c>
      <c r="C11" s="1">
        <v>0.52900000000000003</v>
      </c>
      <c r="E11" s="1">
        <f t="shared" si="0"/>
        <v>5.0999999999999934E-2</v>
      </c>
      <c r="F11" s="1">
        <f t="shared" si="1"/>
        <v>5.1102204408817568E-2</v>
      </c>
    </row>
    <row r="13" spans="1:6" x14ac:dyDescent="0.25">
      <c r="D13" s="1" t="s">
        <v>6</v>
      </c>
      <c r="E13" s="1">
        <f>AVERAGE(E2:E11)</f>
        <v>5.0099999999999978E-2</v>
      </c>
      <c r="F13" s="1">
        <f>AVERAGE(F2:F11)</f>
        <v>5.0200400801603186E-2</v>
      </c>
    </row>
    <row r="14" spans="1:6" x14ac:dyDescent="0.25">
      <c r="D14" s="1" t="s">
        <v>7</v>
      </c>
      <c r="E14" s="1">
        <f>STDEV(E2:E11)</f>
        <v>1.178935489706235E-2</v>
      </c>
      <c r="F14" s="1">
        <f>STDEV(F2:F11)</f>
        <v>1.1812980858779906E-2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DE4A-BF12-4D4E-8FEB-7BFC7422FAC1}">
  <dimension ref="A1:F14"/>
  <sheetViews>
    <sheetView workbookViewId="0">
      <selection activeCell="D13" sqref="D13:F14"/>
    </sheetView>
  </sheetViews>
  <sheetFormatPr defaultColWidth="9.140625" defaultRowHeight="15" x14ac:dyDescent="0.25"/>
  <cols>
    <col min="1" max="1" width="9.140625" style="1"/>
    <col min="2" max="2" width="19.140625" style="1" bestFit="1" customWidth="1"/>
    <col min="3" max="3" width="18.7109375" style="1" bestFit="1" customWidth="1"/>
    <col min="4" max="4" width="26.85546875" style="1" bestFit="1" customWidth="1"/>
    <col min="5" max="5" width="21.85546875" style="1" bestFit="1" customWidth="1"/>
    <col min="6" max="6" width="22.71093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-0.84</v>
      </c>
      <c r="C2" s="1">
        <v>0.78100000000000003</v>
      </c>
      <c r="E2" s="1">
        <f>(B2+C2+D2)*-1</f>
        <v>5.8999999999999941E-2</v>
      </c>
      <c r="F2" s="1">
        <f>E2/0.998</f>
        <v>5.9118236472945833E-2</v>
      </c>
    </row>
    <row r="3" spans="1:6" x14ac:dyDescent="0.25">
      <c r="A3" s="1">
        <v>2</v>
      </c>
      <c r="B3" s="1">
        <v>-0.86</v>
      </c>
      <c r="C3" s="1">
        <v>0.77200000000000002</v>
      </c>
      <c r="E3" s="1">
        <f t="shared" ref="E3:E11" si="0">(B3+C3+D3)*-1</f>
        <v>8.7999999999999967E-2</v>
      </c>
      <c r="F3" s="1">
        <f t="shared" ref="F3:F11" si="1">E3/0.998</f>
        <v>8.8176352705410785E-2</v>
      </c>
    </row>
    <row r="4" spans="1:6" x14ac:dyDescent="0.25">
      <c r="A4" s="1">
        <v>3</v>
      </c>
      <c r="B4" s="1">
        <v>-0.86</v>
      </c>
      <c r="C4" s="1">
        <v>0.77700000000000002</v>
      </c>
      <c r="E4" s="1">
        <f t="shared" si="0"/>
        <v>8.2999999999999963E-2</v>
      </c>
      <c r="F4" s="1">
        <f t="shared" si="1"/>
        <v>8.316633266533062E-2</v>
      </c>
    </row>
    <row r="5" spans="1:6" x14ac:dyDescent="0.25">
      <c r="A5" s="1">
        <v>4</v>
      </c>
      <c r="B5" s="1">
        <v>-0.86</v>
      </c>
      <c r="C5" s="1">
        <v>0.77600000000000002</v>
      </c>
      <c r="E5" s="1">
        <f t="shared" si="0"/>
        <v>8.3999999999999964E-2</v>
      </c>
      <c r="F5" s="1">
        <f t="shared" si="1"/>
        <v>8.4168336673346653E-2</v>
      </c>
    </row>
    <row r="6" spans="1:6" x14ac:dyDescent="0.25">
      <c r="A6" s="1">
        <v>5</v>
      </c>
      <c r="B6" s="1">
        <v>-0.84</v>
      </c>
      <c r="C6" s="1">
        <v>0.78400000000000003</v>
      </c>
      <c r="E6" s="1">
        <f t="shared" si="0"/>
        <v>5.5999999999999939E-2</v>
      </c>
      <c r="F6" s="1">
        <f t="shared" si="1"/>
        <v>5.6112224448897734E-2</v>
      </c>
    </row>
    <row r="7" spans="1:6" x14ac:dyDescent="0.25">
      <c r="A7" s="1">
        <v>6</v>
      </c>
      <c r="B7" s="1">
        <v>-0.86</v>
      </c>
      <c r="C7" s="1">
        <v>0.77100000000000002</v>
      </c>
      <c r="E7" s="1">
        <f t="shared" si="0"/>
        <v>8.8999999999999968E-2</v>
      </c>
      <c r="F7" s="1">
        <f t="shared" si="1"/>
        <v>8.9178356713426818E-2</v>
      </c>
    </row>
    <row r="8" spans="1:6" x14ac:dyDescent="0.25">
      <c r="A8" s="1">
        <v>7</v>
      </c>
      <c r="B8" s="1">
        <v>-0.86</v>
      </c>
      <c r="C8" s="1">
        <v>0.78500000000000003</v>
      </c>
      <c r="E8" s="1">
        <f t="shared" si="0"/>
        <v>7.4999999999999956E-2</v>
      </c>
      <c r="F8" s="1">
        <f t="shared" si="1"/>
        <v>7.5150300601202355E-2</v>
      </c>
    </row>
    <row r="9" spans="1:6" x14ac:dyDescent="0.25">
      <c r="A9" s="1">
        <v>8</v>
      </c>
      <c r="B9" s="1">
        <v>-0.86</v>
      </c>
      <c r="C9" s="1">
        <v>0.77500000000000002</v>
      </c>
      <c r="E9" s="1">
        <f t="shared" si="0"/>
        <v>8.4999999999999964E-2</v>
      </c>
      <c r="F9" s="1">
        <f t="shared" si="1"/>
        <v>8.5170340681362686E-2</v>
      </c>
    </row>
    <row r="10" spans="1:6" x14ac:dyDescent="0.25">
      <c r="A10" s="1">
        <v>9</v>
      </c>
      <c r="B10" s="1">
        <v>-0.84</v>
      </c>
      <c r="C10" s="1">
        <v>0.77500000000000002</v>
      </c>
      <c r="E10" s="1">
        <f t="shared" si="0"/>
        <v>6.4999999999999947E-2</v>
      </c>
      <c r="F10" s="1">
        <f t="shared" si="1"/>
        <v>6.5130260521042024E-2</v>
      </c>
    </row>
    <row r="11" spans="1:6" x14ac:dyDescent="0.25">
      <c r="A11" s="1">
        <v>10</v>
      </c>
      <c r="B11" s="1">
        <v>-0.84</v>
      </c>
      <c r="C11" s="1">
        <v>0.78200000000000003</v>
      </c>
      <c r="E11" s="1">
        <f t="shared" si="0"/>
        <v>5.799999999999994E-2</v>
      </c>
      <c r="F11" s="1">
        <f t="shared" si="1"/>
        <v>5.81162324649298E-2</v>
      </c>
    </row>
    <row r="13" spans="1:6" x14ac:dyDescent="0.25">
      <c r="D13" s="1" t="s">
        <v>6</v>
      </c>
      <c r="E13" s="1">
        <f>AVERAGE(E2:E11)</f>
        <v>7.419999999999996E-2</v>
      </c>
      <c r="F13" s="1">
        <f>AVERAGE(F2:F11)</f>
        <v>7.4348697394789526E-2</v>
      </c>
    </row>
    <row r="14" spans="1:6" x14ac:dyDescent="0.25">
      <c r="D14" s="1" t="s">
        <v>7</v>
      </c>
      <c r="E14" s="1">
        <f>STDEV(E2:E11)</f>
        <v>1.3373273512661167E-2</v>
      </c>
      <c r="F14" s="1">
        <f>STDEV(F2:F11)</f>
        <v>1.3400073659981124E-2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3551-BB4F-4844-AF41-4BCE85ADC855}">
  <dimension ref="A1:F14"/>
  <sheetViews>
    <sheetView workbookViewId="0">
      <selection activeCell="D13" sqref="D13:F14"/>
    </sheetView>
  </sheetViews>
  <sheetFormatPr defaultColWidth="9.140625" defaultRowHeight="15" x14ac:dyDescent="0.25"/>
  <cols>
    <col min="1" max="1" width="9.140625" style="1"/>
    <col min="2" max="2" width="19.140625" style="1" bestFit="1" customWidth="1"/>
    <col min="3" max="3" width="18.7109375" style="1" bestFit="1" customWidth="1"/>
    <col min="4" max="4" width="26.85546875" style="1" bestFit="1" customWidth="1"/>
    <col min="5" max="5" width="21.85546875" style="1" bestFit="1" customWidth="1"/>
    <col min="6" max="6" width="22.71093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-0.62</v>
      </c>
      <c r="C2" s="1">
        <v>0.58699999999999997</v>
      </c>
      <c r="E2" s="1">
        <f>(B2+C2+D2)*-1</f>
        <v>3.3000000000000029E-2</v>
      </c>
      <c r="F2" s="1">
        <f>E2/0.998</f>
        <v>3.3066132264529084E-2</v>
      </c>
    </row>
    <row r="3" spans="1:6" x14ac:dyDescent="0.25">
      <c r="A3" s="1">
        <v>2</v>
      </c>
      <c r="B3" s="1">
        <v>-0.62</v>
      </c>
      <c r="C3" s="1">
        <v>0.58199999999999996</v>
      </c>
      <c r="E3" s="1">
        <f t="shared" ref="E3:E11" si="0">(B3+C3+D3)*-1</f>
        <v>3.8000000000000034E-2</v>
      </c>
      <c r="F3" s="1">
        <f t="shared" ref="F3:F11" si="1">E3/0.998</f>
        <v>3.807615230460925E-2</v>
      </c>
    </row>
    <row r="4" spans="1:6" x14ac:dyDescent="0.25">
      <c r="A4" s="1">
        <v>3</v>
      </c>
      <c r="B4" s="1">
        <v>-0.62</v>
      </c>
      <c r="C4" s="1">
        <v>0.58699999999999997</v>
      </c>
      <c r="E4" s="1">
        <f t="shared" si="0"/>
        <v>3.3000000000000029E-2</v>
      </c>
      <c r="F4" s="1">
        <f t="shared" si="1"/>
        <v>3.3066132264529084E-2</v>
      </c>
    </row>
    <row r="5" spans="1:6" x14ac:dyDescent="0.25">
      <c r="A5" s="1">
        <v>4</v>
      </c>
      <c r="B5" s="1">
        <v>-0.62</v>
      </c>
      <c r="C5" s="1">
        <v>0.58399999999999996</v>
      </c>
      <c r="E5" s="1">
        <f t="shared" si="0"/>
        <v>3.6000000000000032E-2</v>
      </c>
      <c r="F5" s="1">
        <f t="shared" si="1"/>
        <v>3.6072144288577183E-2</v>
      </c>
    </row>
    <row r="6" spans="1:6" x14ac:dyDescent="0.25">
      <c r="A6" s="1">
        <v>5</v>
      </c>
      <c r="B6" s="1">
        <v>-0.62</v>
      </c>
      <c r="C6" s="1">
        <v>0.56999999999999995</v>
      </c>
      <c r="E6" s="1">
        <f t="shared" si="0"/>
        <v>5.0000000000000044E-2</v>
      </c>
      <c r="F6" s="1">
        <f t="shared" si="1"/>
        <v>5.0100200400801646E-2</v>
      </c>
    </row>
    <row r="7" spans="1:6" x14ac:dyDescent="0.25">
      <c r="A7" s="1">
        <v>6</v>
      </c>
      <c r="B7" s="1">
        <v>-0.64</v>
      </c>
      <c r="C7" s="1">
        <v>0.57999999999999996</v>
      </c>
      <c r="E7" s="1">
        <f t="shared" si="0"/>
        <v>6.0000000000000053E-2</v>
      </c>
      <c r="F7" s="1">
        <f t="shared" si="1"/>
        <v>6.0120240480961977E-2</v>
      </c>
    </row>
    <row r="8" spans="1:6" x14ac:dyDescent="0.25">
      <c r="A8" s="1">
        <v>7</v>
      </c>
      <c r="B8" s="1">
        <v>-0.64</v>
      </c>
      <c r="C8" s="1">
        <v>0.57999999999999996</v>
      </c>
      <c r="E8" s="1">
        <f t="shared" si="0"/>
        <v>6.0000000000000053E-2</v>
      </c>
      <c r="F8" s="1">
        <f t="shared" si="1"/>
        <v>6.0120240480961977E-2</v>
      </c>
    </row>
    <row r="9" spans="1:6" x14ac:dyDescent="0.25">
      <c r="A9" s="1">
        <v>8</v>
      </c>
      <c r="B9" s="1">
        <v>-0.64</v>
      </c>
      <c r="C9" s="1">
        <v>0.58099999999999996</v>
      </c>
      <c r="E9" s="1">
        <f t="shared" si="0"/>
        <v>5.9000000000000052E-2</v>
      </c>
      <c r="F9" s="1">
        <f t="shared" si="1"/>
        <v>5.9118236472945944E-2</v>
      </c>
    </row>
    <row r="10" spans="1:6" x14ac:dyDescent="0.25">
      <c r="A10" s="1">
        <v>9</v>
      </c>
      <c r="B10" s="1">
        <v>-0.62</v>
      </c>
      <c r="C10" s="1">
        <v>0.57499999999999996</v>
      </c>
      <c r="E10" s="1">
        <f t="shared" si="0"/>
        <v>4.500000000000004E-2</v>
      </c>
      <c r="F10" s="1">
        <f t="shared" si="1"/>
        <v>4.5090180360721481E-2</v>
      </c>
    </row>
    <row r="11" spans="1:6" x14ac:dyDescent="0.25">
      <c r="A11" s="1">
        <v>10</v>
      </c>
      <c r="B11" s="1">
        <v>-0.62</v>
      </c>
      <c r="C11" s="1">
        <v>0.56100000000000005</v>
      </c>
      <c r="E11" s="1">
        <f t="shared" si="0"/>
        <v>5.8999999999999941E-2</v>
      </c>
      <c r="F11" s="1">
        <f t="shared" si="1"/>
        <v>5.9118236472945833E-2</v>
      </c>
    </row>
    <row r="13" spans="1:6" x14ac:dyDescent="0.25">
      <c r="D13" s="1" t="s">
        <v>6</v>
      </c>
      <c r="E13" s="1">
        <f>AVERAGE(E2:E11)</f>
        <v>4.730000000000003E-2</v>
      </c>
      <c r="F13" s="1">
        <f>AVERAGE(F2:F11)</f>
        <v>4.7394789579158346E-2</v>
      </c>
    </row>
    <row r="14" spans="1:6" x14ac:dyDescent="0.25">
      <c r="D14" s="1" t="s">
        <v>7</v>
      </c>
      <c r="E14" s="1">
        <f>STDEV(E2:E11)</f>
        <v>1.1700427342623004E-2</v>
      </c>
      <c r="F14" s="1">
        <f>STDEV(F2:F11)</f>
        <v>1.1723875092808622E-2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D891-F4B7-4C09-A1FA-43F6FD6A2D03}">
  <dimension ref="A1:F14"/>
  <sheetViews>
    <sheetView workbookViewId="0">
      <selection activeCell="D13" sqref="D13:F14"/>
    </sheetView>
  </sheetViews>
  <sheetFormatPr defaultColWidth="9.140625" defaultRowHeight="15" x14ac:dyDescent="0.25"/>
  <cols>
    <col min="1" max="1" width="9.140625" style="1"/>
    <col min="2" max="2" width="19.140625" style="1" bestFit="1" customWidth="1"/>
    <col min="3" max="3" width="18.7109375" style="1" bestFit="1" customWidth="1"/>
    <col min="4" max="4" width="26.85546875" style="1" bestFit="1" customWidth="1"/>
    <col min="5" max="5" width="21.85546875" style="1" bestFit="1" customWidth="1"/>
    <col min="6" max="6" width="22.71093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-0.78</v>
      </c>
      <c r="C2" s="1">
        <v>0.74199999999999999</v>
      </c>
      <c r="E2" s="1">
        <f>(B2+C2+D2)*-1</f>
        <v>3.8000000000000034E-2</v>
      </c>
      <c r="F2" s="1">
        <f>E2/0.998</f>
        <v>3.807615230460925E-2</v>
      </c>
    </row>
    <row r="3" spans="1:6" x14ac:dyDescent="0.25">
      <c r="A3" s="1">
        <v>2</v>
      </c>
      <c r="B3" s="1">
        <v>-0.78</v>
      </c>
      <c r="C3" s="1">
        <v>0.74399999999999999</v>
      </c>
      <c r="E3" s="1">
        <f t="shared" ref="E3:E11" si="0">(B3+C3+D3)*-1</f>
        <v>3.6000000000000032E-2</v>
      </c>
      <c r="F3" s="1">
        <f t="shared" ref="F3:F11" si="1">E3/0.998</f>
        <v>3.6072144288577183E-2</v>
      </c>
    </row>
    <row r="4" spans="1:6" x14ac:dyDescent="0.25">
      <c r="A4" s="1">
        <v>3</v>
      </c>
      <c r="B4" s="1">
        <v>-0.76</v>
      </c>
      <c r="C4" s="1">
        <v>0.71399999999999997</v>
      </c>
      <c r="E4" s="1">
        <f t="shared" si="0"/>
        <v>4.6000000000000041E-2</v>
      </c>
      <c r="F4" s="1">
        <f t="shared" si="1"/>
        <v>4.6092184368737514E-2</v>
      </c>
    </row>
    <row r="5" spans="1:6" x14ac:dyDescent="0.25">
      <c r="A5" s="1">
        <v>4</v>
      </c>
      <c r="B5" s="1">
        <v>-0.76</v>
      </c>
      <c r="C5" s="1">
        <v>0.72799999999999998</v>
      </c>
      <c r="E5" s="1">
        <f t="shared" si="0"/>
        <v>3.2000000000000028E-2</v>
      </c>
      <c r="F5" s="1">
        <f t="shared" si="1"/>
        <v>3.2064128256513051E-2</v>
      </c>
    </row>
    <row r="6" spans="1:6" x14ac:dyDescent="0.25">
      <c r="A6" s="1">
        <v>5</v>
      </c>
      <c r="B6" s="1">
        <v>-0.74</v>
      </c>
      <c r="C6" s="1">
        <v>0.71599999999999997</v>
      </c>
      <c r="E6" s="1">
        <f t="shared" si="0"/>
        <v>2.4000000000000021E-2</v>
      </c>
      <c r="F6" s="1">
        <f t="shared" si="1"/>
        <v>2.404809619238479E-2</v>
      </c>
    </row>
    <row r="7" spans="1:6" x14ac:dyDescent="0.25">
      <c r="A7" s="1">
        <v>6</v>
      </c>
      <c r="B7" s="1">
        <v>-0.76</v>
      </c>
      <c r="C7" s="1">
        <v>0.71499999999999997</v>
      </c>
      <c r="E7" s="1">
        <f t="shared" si="0"/>
        <v>4.500000000000004E-2</v>
      </c>
      <c r="F7" s="1">
        <f t="shared" si="1"/>
        <v>4.5090180360721481E-2</v>
      </c>
    </row>
    <row r="8" spans="1:6" x14ac:dyDescent="0.25">
      <c r="A8" s="1">
        <v>7</v>
      </c>
      <c r="B8" s="1">
        <v>-0.76</v>
      </c>
      <c r="C8" s="1">
        <v>0.70899999999999996</v>
      </c>
      <c r="E8" s="1">
        <f t="shared" si="0"/>
        <v>5.1000000000000045E-2</v>
      </c>
      <c r="F8" s="1">
        <f t="shared" si="1"/>
        <v>5.1102204408817679E-2</v>
      </c>
    </row>
    <row r="9" spans="1:6" x14ac:dyDescent="0.25">
      <c r="A9" s="1">
        <v>8</v>
      </c>
      <c r="B9" s="1">
        <v>-0.76</v>
      </c>
      <c r="C9" s="1">
        <v>0.70499999999999996</v>
      </c>
      <c r="E9" s="1">
        <f t="shared" si="0"/>
        <v>5.5000000000000049E-2</v>
      </c>
      <c r="F9" s="1">
        <f t="shared" si="1"/>
        <v>5.5110220440881812E-2</v>
      </c>
    </row>
    <row r="10" spans="1:6" x14ac:dyDescent="0.25">
      <c r="A10" s="1">
        <v>9</v>
      </c>
      <c r="B10" s="1">
        <v>-0.74</v>
      </c>
      <c r="C10" s="1">
        <v>0.70899999999999996</v>
      </c>
      <c r="E10" s="1">
        <f t="shared" si="0"/>
        <v>3.1000000000000028E-2</v>
      </c>
      <c r="F10" s="1">
        <f t="shared" si="1"/>
        <v>3.1062124248497022E-2</v>
      </c>
    </row>
    <row r="11" spans="1:6" x14ac:dyDescent="0.25">
      <c r="A11" s="1">
        <v>10</v>
      </c>
      <c r="B11" s="1">
        <v>-0.76</v>
      </c>
      <c r="C11" s="1">
        <v>0.69199999999999995</v>
      </c>
      <c r="E11" s="1">
        <f t="shared" si="0"/>
        <v>6.800000000000006E-2</v>
      </c>
      <c r="F11" s="1">
        <f t="shared" si="1"/>
        <v>6.8136272545090235E-2</v>
      </c>
    </row>
    <row r="13" spans="1:6" x14ac:dyDescent="0.25">
      <c r="D13" s="1" t="s">
        <v>6</v>
      </c>
      <c r="E13" s="1">
        <f>AVERAGE(E2:E11)</f>
        <v>4.2600000000000041E-2</v>
      </c>
      <c r="F13" s="1">
        <f>AVERAGE(F2:F11)</f>
        <v>4.2685370741483E-2</v>
      </c>
    </row>
    <row r="14" spans="1:6" x14ac:dyDescent="0.25">
      <c r="D14" s="1" t="s">
        <v>7</v>
      </c>
      <c r="E14" s="1">
        <f>STDEV(E2:E11)</f>
        <v>1.3099618315050259E-2</v>
      </c>
      <c r="F14" s="1">
        <f>STDEV(F2:F11)</f>
        <v>1.3125870055160596E-2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E0B0-79EF-470F-A141-A93889F0E737}">
  <dimension ref="A1:F14"/>
  <sheetViews>
    <sheetView workbookViewId="0">
      <selection activeCell="D13" sqref="D13:F14"/>
    </sheetView>
  </sheetViews>
  <sheetFormatPr defaultColWidth="9.140625" defaultRowHeight="15" x14ac:dyDescent="0.25"/>
  <cols>
    <col min="1" max="1" width="9.140625" style="1"/>
    <col min="2" max="2" width="19.140625" style="1" bestFit="1" customWidth="1"/>
    <col min="3" max="3" width="18.7109375" style="1" bestFit="1" customWidth="1"/>
    <col min="4" max="4" width="26.85546875" style="1" bestFit="1" customWidth="1"/>
    <col min="5" max="5" width="21.85546875" style="1" bestFit="1" customWidth="1"/>
    <col min="6" max="6" width="22.71093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-0.54</v>
      </c>
      <c r="C2" s="1">
        <v>0.497</v>
      </c>
      <c r="E2" s="1">
        <f>(B2+C2+D2)*-1</f>
        <v>4.3000000000000038E-2</v>
      </c>
      <c r="F2" s="1">
        <f>E2/0.998</f>
        <v>4.3086172344689415E-2</v>
      </c>
    </row>
    <row r="3" spans="1:6" x14ac:dyDescent="0.25">
      <c r="A3" s="1">
        <v>2</v>
      </c>
      <c r="B3" s="1">
        <v>-0.52</v>
      </c>
      <c r="C3" s="1">
        <v>0.49199999999999999</v>
      </c>
      <c r="E3" s="1">
        <f t="shared" ref="E3:E11" si="0">(B3+C3+D3)*-1</f>
        <v>2.8000000000000025E-2</v>
      </c>
      <c r="F3" s="1">
        <f t="shared" ref="F3:F11" si="1">E3/0.998</f>
        <v>2.8056112224448922E-2</v>
      </c>
    </row>
    <row r="4" spans="1:6" x14ac:dyDescent="0.25">
      <c r="A4" s="1">
        <v>3</v>
      </c>
      <c r="B4" s="1">
        <v>-0.54</v>
      </c>
      <c r="C4" s="1">
        <v>0.50700000000000001</v>
      </c>
      <c r="E4" s="1">
        <f t="shared" si="0"/>
        <v>3.3000000000000029E-2</v>
      </c>
      <c r="F4" s="1">
        <f t="shared" si="1"/>
        <v>3.3066132264529084E-2</v>
      </c>
    </row>
    <row r="5" spans="1:6" x14ac:dyDescent="0.25">
      <c r="A5" s="1">
        <v>4</v>
      </c>
      <c r="B5" s="1">
        <v>-0.52</v>
      </c>
      <c r="C5" s="1">
        <v>0.503</v>
      </c>
      <c r="E5" s="1">
        <f t="shared" si="0"/>
        <v>1.7000000000000015E-2</v>
      </c>
      <c r="F5" s="1">
        <f t="shared" si="1"/>
        <v>1.7034068136272559E-2</v>
      </c>
    </row>
    <row r="6" spans="1:6" x14ac:dyDescent="0.25">
      <c r="A6" s="1">
        <v>5</v>
      </c>
      <c r="B6" s="1">
        <v>-0.52</v>
      </c>
      <c r="C6" s="1">
        <v>0.47599999999999998</v>
      </c>
      <c r="E6" s="1">
        <f t="shared" si="0"/>
        <v>4.4000000000000039E-2</v>
      </c>
      <c r="F6" s="1">
        <f t="shared" si="1"/>
        <v>4.4088176352705448E-2</v>
      </c>
    </row>
    <row r="7" spans="1:6" x14ac:dyDescent="0.25">
      <c r="A7" s="1">
        <v>6</v>
      </c>
      <c r="B7" s="1">
        <v>-0.54</v>
      </c>
      <c r="C7" s="1">
        <v>0.497</v>
      </c>
      <c r="E7" s="1">
        <f t="shared" si="0"/>
        <v>4.3000000000000038E-2</v>
      </c>
      <c r="F7" s="1">
        <f t="shared" si="1"/>
        <v>4.3086172344689415E-2</v>
      </c>
    </row>
    <row r="8" spans="1:6" x14ac:dyDescent="0.25">
      <c r="A8" s="1">
        <v>7</v>
      </c>
      <c r="B8" s="1">
        <v>-0.54</v>
      </c>
      <c r="C8" s="1">
        <v>0.51300000000000001</v>
      </c>
      <c r="E8" s="1">
        <f t="shared" si="0"/>
        <v>2.7000000000000024E-2</v>
      </c>
      <c r="F8" s="1">
        <f t="shared" si="1"/>
        <v>2.7054108216432889E-2</v>
      </c>
    </row>
    <row r="9" spans="1:6" x14ac:dyDescent="0.25">
      <c r="A9" s="1">
        <v>8</v>
      </c>
      <c r="B9" s="1">
        <v>-0.54</v>
      </c>
      <c r="C9" s="1">
        <v>0.497</v>
      </c>
      <c r="E9" s="1">
        <f t="shared" si="0"/>
        <v>4.3000000000000038E-2</v>
      </c>
      <c r="F9" s="1">
        <f t="shared" si="1"/>
        <v>4.3086172344689415E-2</v>
      </c>
    </row>
    <row r="10" spans="1:6" x14ac:dyDescent="0.25">
      <c r="A10" s="1">
        <v>9</v>
      </c>
      <c r="B10" s="1">
        <v>-0.54</v>
      </c>
      <c r="C10" s="1">
        <v>0.51200000000000001</v>
      </c>
      <c r="E10" s="1">
        <f t="shared" si="0"/>
        <v>2.8000000000000025E-2</v>
      </c>
      <c r="F10" s="1">
        <f t="shared" si="1"/>
        <v>2.8056112224448922E-2</v>
      </c>
    </row>
    <row r="11" spans="1:6" x14ac:dyDescent="0.25">
      <c r="A11" s="1">
        <v>10</v>
      </c>
      <c r="B11" s="1">
        <v>-0.52</v>
      </c>
      <c r="C11" s="1">
        <v>0.48899999999999999</v>
      </c>
      <c r="E11" s="1">
        <f t="shared" si="0"/>
        <v>3.1000000000000028E-2</v>
      </c>
      <c r="F11" s="1">
        <f t="shared" si="1"/>
        <v>3.1062124248497022E-2</v>
      </c>
    </row>
    <row r="13" spans="1:6" x14ac:dyDescent="0.25">
      <c r="D13" s="1" t="s">
        <v>6</v>
      </c>
      <c r="E13" s="1">
        <f>AVERAGE(E2:E11)</f>
        <v>3.3700000000000029E-2</v>
      </c>
      <c r="F13" s="1">
        <f>AVERAGE(F2:F11)</f>
        <v>3.3767535070140312E-2</v>
      </c>
    </row>
    <row r="14" spans="1:6" x14ac:dyDescent="0.25">
      <c r="D14" s="1" t="s">
        <v>7</v>
      </c>
      <c r="E14" s="1">
        <f>STDEV(E2:E11)</f>
        <v>9.20205291105077E-3</v>
      </c>
      <c r="F14" s="1">
        <f>STDEV(F2:F11)</f>
        <v>9.2204938988484832E-3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3E0C-0CA4-4CD0-AA6B-80FCA10E62F7}">
  <dimension ref="A1:F14"/>
  <sheetViews>
    <sheetView workbookViewId="0">
      <selection activeCell="F22" sqref="F22"/>
    </sheetView>
  </sheetViews>
  <sheetFormatPr defaultColWidth="9.140625" defaultRowHeight="15" x14ac:dyDescent="0.25"/>
  <cols>
    <col min="1" max="1" width="9.140625" style="1"/>
    <col min="2" max="2" width="19.140625" style="1" bestFit="1" customWidth="1"/>
    <col min="3" max="3" width="18.7109375" style="1" bestFit="1" customWidth="1"/>
    <col min="4" max="4" width="26.85546875" style="1" bestFit="1" customWidth="1"/>
    <col min="5" max="5" width="21.85546875" style="1" bestFit="1" customWidth="1"/>
    <col min="6" max="6" width="22.71093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-0.78</v>
      </c>
      <c r="C2" s="1">
        <v>0.754</v>
      </c>
      <c r="E2" s="1">
        <f>(B2+C2+D2)*-1</f>
        <v>2.6000000000000023E-2</v>
      </c>
      <c r="F2" s="1">
        <f>E2/0.998</f>
        <v>2.6052104208416856E-2</v>
      </c>
    </row>
    <row r="3" spans="1:6" x14ac:dyDescent="0.25">
      <c r="A3" s="1">
        <v>2</v>
      </c>
      <c r="B3" s="1">
        <v>-0.78</v>
      </c>
      <c r="C3" s="1">
        <v>0.753</v>
      </c>
      <c r="E3" s="1">
        <f t="shared" ref="E3:E11" si="0">(B3+C3+D3)*-1</f>
        <v>2.7000000000000024E-2</v>
      </c>
      <c r="F3" s="1">
        <f t="shared" ref="F3:F11" si="1">E3/0.998</f>
        <v>2.7054108216432889E-2</v>
      </c>
    </row>
    <row r="4" spans="1:6" x14ac:dyDescent="0.25">
      <c r="A4" s="1">
        <v>3</v>
      </c>
      <c r="B4" s="1">
        <v>-0.78</v>
      </c>
      <c r="C4" s="1">
        <v>0.73799999999999999</v>
      </c>
      <c r="E4" s="1">
        <f t="shared" si="0"/>
        <v>4.2000000000000037E-2</v>
      </c>
      <c r="F4" s="1">
        <f t="shared" si="1"/>
        <v>4.2084168336673382E-2</v>
      </c>
    </row>
    <row r="5" spans="1:6" x14ac:dyDescent="0.25">
      <c r="A5" s="1">
        <v>4</v>
      </c>
      <c r="B5" s="1">
        <v>-0.8</v>
      </c>
      <c r="C5" s="1">
        <v>0.746</v>
      </c>
      <c r="E5" s="1">
        <f t="shared" si="0"/>
        <v>5.4000000000000048E-2</v>
      </c>
      <c r="F5" s="1">
        <f t="shared" si="1"/>
        <v>5.4108216432865779E-2</v>
      </c>
    </row>
    <row r="6" spans="1:6" x14ac:dyDescent="0.25">
      <c r="A6" s="1">
        <v>5</v>
      </c>
      <c r="B6" s="1">
        <v>-0.8</v>
      </c>
      <c r="C6" s="1">
        <v>0.748</v>
      </c>
      <c r="E6" s="1">
        <f t="shared" si="0"/>
        <v>5.2000000000000046E-2</v>
      </c>
      <c r="F6" s="1">
        <f t="shared" si="1"/>
        <v>5.2104208416833712E-2</v>
      </c>
    </row>
    <row r="7" spans="1:6" x14ac:dyDescent="0.25">
      <c r="A7" s="1">
        <v>6</v>
      </c>
      <c r="B7" s="1">
        <v>-0.78</v>
      </c>
      <c r="C7" s="1">
        <v>0.74399999999999999</v>
      </c>
      <c r="E7" s="1">
        <f t="shared" si="0"/>
        <v>3.6000000000000032E-2</v>
      </c>
      <c r="F7" s="1">
        <f t="shared" si="1"/>
        <v>3.6072144288577183E-2</v>
      </c>
    </row>
    <row r="8" spans="1:6" x14ac:dyDescent="0.25">
      <c r="A8" s="1">
        <v>7</v>
      </c>
      <c r="B8" s="1">
        <v>-0.78</v>
      </c>
      <c r="C8" s="1">
        <v>0.73399999999999999</v>
      </c>
      <c r="E8" s="1">
        <f t="shared" si="0"/>
        <v>4.6000000000000041E-2</v>
      </c>
      <c r="F8" s="1">
        <f t="shared" si="1"/>
        <v>4.6092184368737514E-2</v>
      </c>
    </row>
    <row r="9" spans="1:6" x14ac:dyDescent="0.25">
      <c r="A9" s="1">
        <v>8</v>
      </c>
      <c r="B9" s="1">
        <v>-0.8</v>
      </c>
      <c r="C9" s="1">
        <v>0.72899999999999998</v>
      </c>
      <c r="E9" s="1">
        <f t="shared" si="0"/>
        <v>7.1000000000000063E-2</v>
      </c>
      <c r="F9" s="1">
        <f t="shared" si="1"/>
        <v>7.1142284569138334E-2</v>
      </c>
    </row>
    <row r="10" spans="1:6" x14ac:dyDescent="0.25">
      <c r="A10" s="1">
        <v>9</v>
      </c>
      <c r="B10" s="1">
        <v>-0.78</v>
      </c>
      <c r="C10" s="1">
        <v>0.746</v>
      </c>
      <c r="E10" s="1">
        <f t="shared" si="0"/>
        <v>3.400000000000003E-2</v>
      </c>
      <c r="F10" s="1">
        <f t="shared" si="1"/>
        <v>3.4068136272545117E-2</v>
      </c>
    </row>
    <row r="11" spans="1:6" x14ac:dyDescent="0.25">
      <c r="A11" s="1">
        <v>10</v>
      </c>
      <c r="B11" s="1">
        <v>-0.78</v>
      </c>
      <c r="C11" s="1">
        <v>0.73</v>
      </c>
      <c r="E11" s="1">
        <f t="shared" si="0"/>
        <v>5.0000000000000044E-2</v>
      </c>
      <c r="F11" s="1">
        <f t="shared" si="1"/>
        <v>5.0100200400801646E-2</v>
      </c>
    </row>
    <row r="13" spans="1:6" x14ac:dyDescent="0.25">
      <c r="D13" s="1" t="s">
        <v>6</v>
      </c>
      <c r="E13" s="1">
        <f>AVERAGE(E2:E11)</f>
        <v>4.380000000000004E-2</v>
      </c>
      <c r="F13" s="1">
        <f>AVERAGE(F2:F11)</f>
        <v>4.3887775551102244E-2</v>
      </c>
    </row>
    <row r="14" spans="1:6" x14ac:dyDescent="0.25">
      <c r="D14" s="1" t="s">
        <v>7</v>
      </c>
      <c r="E14" s="1">
        <f>STDEV(E2:E11)</f>
        <v>1.3798550648528269E-2</v>
      </c>
      <c r="F14" s="1">
        <f>STDEV(F2:F11)</f>
        <v>1.3826203054637552E-2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Liquid Holdup 3LPM High</vt:lpstr>
      <vt:lpstr>Liquid Holdup 4.5LPM High</vt:lpstr>
      <vt:lpstr>Liquid Holdup 3LPM Med</vt:lpstr>
      <vt:lpstr>Liquid Holdup 4.5LPM Med</vt:lpstr>
      <vt:lpstr>Liquid Holdup 3LPM Low</vt:lpstr>
      <vt:lpstr>Liquid Holdup 4.5LPM 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Jean, Alexandra B [C B E]</dc:creator>
  <cp:lastModifiedBy>Jean, Alexandra B</cp:lastModifiedBy>
  <dcterms:created xsi:type="dcterms:W3CDTF">2025-09-23T18:12:51Z</dcterms:created>
  <dcterms:modified xsi:type="dcterms:W3CDTF">2026-06-11T14:41:29Z</dcterms:modified>
</cp:coreProperties>
</file>
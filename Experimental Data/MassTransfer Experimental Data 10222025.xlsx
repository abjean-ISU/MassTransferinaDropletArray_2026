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barron\Box\Research\Projects\Liquid Holdup and Mass Transfer\Experimental\"/>
    </mc:Choice>
  </mc:AlternateContent>
  <xr:revisionPtr revIDLastSave="0" documentId="13_ncr:1_{8C686565-CF37-4856-906E-88F73A520BE4}" xr6:coauthVersionLast="47" xr6:coauthVersionMax="47" xr10:uidLastSave="{00000000-0000-0000-0000-000000000000}"/>
  <bookViews>
    <workbookView xWindow="-28920" yWindow="-120" windowWidth="29040" windowHeight="15840" activeTab="2" xr2:uid="{39D0FC03-0C2B-4273-B323-225E19E4F6ED}"/>
  </bookViews>
  <sheets>
    <sheet name="3LPM Low" sheetId="3" r:id="rId1"/>
    <sheet name="3LPM Med" sheetId="10" r:id="rId2"/>
    <sheet name="3LPM High" sheetId="11" r:id="rId3"/>
    <sheet name="4.5LPM Low" sheetId="12" r:id="rId4"/>
    <sheet name="4.5LPM Med" sheetId="13" r:id="rId5"/>
    <sheet name="4.5LPM High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4" l="1"/>
  <c r="H10" i="14"/>
  <c r="H18" i="14"/>
  <c r="H2" i="3"/>
  <c r="H10" i="3"/>
  <c r="H21" i="3"/>
  <c r="H2" i="10"/>
  <c r="H11" i="10"/>
  <c r="H22" i="10"/>
  <c r="H2" i="11"/>
  <c r="H12" i="11"/>
  <c r="H24" i="11"/>
  <c r="H2" i="12"/>
  <c r="H9" i="12"/>
  <c r="H17" i="12"/>
  <c r="H2" i="13"/>
  <c r="H10" i="13"/>
  <c r="H18" i="13"/>
  <c r="H25" i="14" l="1"/>
  <c r="H24" i="14"/>
  <c r="H23" i="14"/>
  <c r="H22" i="14"/>
  <c r="H21" i="14"/>
  <c r="H20" i="14"/>
  <c r="H19" i="14"/>
  <c r="H17" i="14"/>
  <c r="H16" i="14"/>
  <c r="H15" i="14"/>
  <c r="H14" i="14"/>
  <c r="H13" i="14"/>
  <c r="H12" i="14"/>
  <c r="H11" i="14"/>
  <c r="H9" i="14"/>
  <c r="H8" i="14"/>
  <c r="H7" i="14"/>
  <c r="H6" i="14"/>
  <c r="H5" i="14"/>
  <c r="H4" i="14"/>
  <c r="H3" i="14"/>
  <c r="H25" i="13"/>
  <c r="H24" i="13"/>
  <c r="H23" i="13"/>
  <c r="H22" i="13"/>
  <c r="H21" i="13"/>
  <c r="H20" i="13"/>
  <c r="H19" i="13"/>
  <c r="H17" i="13"/>
  <c r="H16" i="13"/>
  <c r="H15" i="13"/>
  <c r="H14" i="13"/>
  <c r="H13" i="13"/>
  <c r="H12" i="13"/>
  <c r="H11" i="13"/>
  <c r="H9" i="13"/>
  <c r="H8" i="13"/>
  <c r="H7" i="13"/>
  <c r="H6" i="13"/>
  <c r="H5" i="13"/>
  <c r="H4" i="13"/>
  <c r="H3" i="13"/>
  <c r="H3" i="12"/>
  <c r="H4" i="12"/>
  <c r="H5" i="12"/>
  <c r="H6" i="12"/>
  <c r="H7" i="12"/>
  <c r="H8" i="12"/>
  <c r="H10" i="12"/>
  <c r="H11" i="12"/>
  <c r="H12" i="12"/>
  <c r="H13" i="12"/>
  <c r="H14" i="12"/>
  <c r="H15" i="12"/>
  <c r="H16" i="12"/>
  <c r="H18" i="12"/>
  <c r="H19" i="12"/>
  <c r="H20" i="12"/>
  <c r="H21" i="12"/>
  <c r="H22" i="12"/>
  <c r="H23" i="12"/>
  <c r="H24" i="12"/>
  <c r="H25" i="12"/>
  <c r="H35" i="11"/>
  <c r="H34" i="11"/>
  <c r="H33" i="11"/>
  <c r="H32" i="11"/>
  <c r="H31" i="11"/>
  <c r="H30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1" i="11"/>
  <c r="H10" i="11"/>
  <c r="H9" i="11"/>
  <c r="H8" i="11"/>
  <c r="H7" i="11"/>
  <c r="H6" i="11"/>
  <c r="H5" i="11"/>
  <c r="H4" i="11"/>
  <c r="H3" i="11"/>
  <c r="H32" i="10"/>
  <c r="H31" i="10"/>
  <c r="H30" i="10"/>
  <c r="H29" i="10"/>
  <c r="H28" i="10"/>
  <c r="H27" i="10"/>
  <c r="H26" i="10"/>
  <c r="H25" i="10"/>
  <c r="H24" i="10"/>
  <c r="H23" i="10"/>
  <c r="H21" i="10"/>
  <c r="H20" i="10"/>
  <c r="H19" i="10"/>
  <c r="H18" i="10"/>
  <c r="H17" i="10"/>
  <c r="H16" i="10"/>
  <c r="H15" i="10"/>
  <c r="H14" i="10"/>
  <c r="H13" i="10"/>
  <c r="H12" i="10"/>
  <c r="H10" i="10"/>
  <c r="H9" i="10"/>
  <c r="H8" i="10"/>
  <c r="H7" i="10"/>
  <c r="H6" i="10"/>
  <c r="H5" i="10"/>
  <c r="H4" i="10"/>
  <c r="H3" i="10"/>
  <c r="H32" i="3"/>
  <c r="H31" i="3"/>
  <c r="H30" i="3"/>
  <c r="H29" i="3"/>
  <c r="H3" i="3"/>
  <c r="H4" i="3"/>
  <c r="H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</calcChain>
</file>

<file path=xl/sharedStrings.xml><?xml version="1.0" encoding="utf-8"?>
<sst xmlns="http://schemas.openxmlformats.org/spreadsheetml/2006/main" count="48" uniqueCount="8">
  <si>
    <t>Trial</t>
  </si>
  <si>
    <t>Time</t>
  </si>
  <si>
    <t>CO2 Pressure (psig)</t>
  </si>
  <si>
    <t>CO2 (vol/vol)</t>
  </si>
  <si>
    <t>Flowrate (L/min)</t>
  </si>
  <si>
    <t>Liquid Temperature (C)</t>
  </si>
  <si>
    <t>CO2 (g/L)</t>
  </si>
  <si>
    <t>Height.m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</si>
</sst>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A5BA-174A-47CE-AEF2-0A08C52CB0F4}">
  <dimension ref="A1:H32"/>
  <sheetViews>
    <sheetView workbookViewId="0">
      <selection activeCell="C25" sqref="C25:C32"/>
    </sheetView>
  </sheetViews>
  <sheetFormatPr defaultRowHeight="15" x14ac:dyDescent="0.25"/>
  <cols>
    <col min="4" max="4" width="18.5703125" bestFit="1" customWidth="1"/>
    <col min="5" max="5" width="15.5703125" bestFit="1" customWidth="1"/>
    <col min="6" max="6" width="21.42578125" style="2" bestFit="1" customWidth="1"/>
    <col min="7" max="7" width="12.28515625" style="2" bestFit="1" customWidth="1"/>
    <col min="8" max="8" width="9.140625" style="2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2.0833333333333333E-3</v>
      </c>
      <c r="C2" s="2">
        <v>0.53</v>
      </c>
      <c r="D2">
        <v>5</v>
      </c>
      <c r="E2">
        <v>3</v>
      </c>
      <c r="F2" s="2">
        <v>24.29</v>
      </c>
      <c r="G2" s="2">
        <v>0.66</v>
      </c>
      <c r="H2" s="2">
        <f>G2*1.96</f>
        <v>1.2936000000000001</v>
      </c>
    </row>
    <row r="3" spans="1:8" x14ac:dyDescent="0.25">
      <c r="A3">
        <v>1</v>
      </c>
      <c r="B3" s="1">
        <v>2.1527777777777778E-2</v>
      </c>
      <c r="C3" s="2">
        <v>0.53</v>
      </c>
      <c r="D3">
        <v>5</v>
      </c>
      <c r="E3">
        <v>3</v>
      </c>
      <c r="F3" s="2">
        <v>23.87</v>
      </c>
      <c r="G3" s="2">
        <v>0.52</v>
      </c>
      <c r="H3" s="2">
        <f t="shared" ref="H3:H32" si="0">G3*1.96</f>
        <v>1.0192000000000001</v>
      </c>
    </row>
    <row r="4" spans="1:8" x14ac:dyDescent="0.25">
      <c r="A4">
        <v>1</v>
      </c>
      <c r="B4" s="1">
        <v>6.5972222222222224E-2</v>
      </c>
      <c r="C4" s="2">
        <v>0.53</v>
      </c>
      <c r="D4">
        <v>5</v>
      </c>
      <c r="E4">
        <v>3</v>
      </c>
      <c r="F4" s="2">
        <v>23.61</v>
      </c>
      <c r="G4" s="2">
        <v>0.51</v>
      </c>
      <c r="H4" s="2">
        <f t="shared" si="0"/>
        <v>0.99960000000000004</v>
      </c>
    </row>
    <row r="5" spans="1:8" x14ac:dyDescent="0.25">
      <c r="A5">
        <v>1</v>
      </c>
      <c r="B5" s="1">
        <v>0.10069444444444445</v>
      </c>
      <c r="C5" s="2">
        <v>0.53</v>
      </c>
      <c r="D5">
        <v>5</v>
      </c>
      <c r="E5">
        <v>3</v>
      </c>
      <c r="F5" s="2">
        <v>23.54</v>
      </c>
      <c r="G5" s="2">
        <v>0.51</v>
      </c>
      <c r="H5" s="2">
        <f t="shared" si="0"/>
        <v>0.99960000000000004</v>
      </c>
    </row>
    <row r="6" spans="1:8" x14ac:dyDescent="0.25">
      <c r="A6">
        <v>1</v>
      </c>
      <c r="B6" s="1">
        <v>0.14374999999999999</v>
      </c>
      <c r="C6" s="2">
        <v>0.53</v>
      </c>
      <c r="D6">
        <v>5</v>
      </c>
      <c r="E6">
        <v>3</v>
      </c>
      <c r="F6" s="2">
        <v>23.51</v>
      </c>
      <c r="G6" s="2">
        <v>0.51</v>
      </c>
      <c r="H6" s="2">
        <f t="shared" si="0"/>
        <v>0.99960000000000004</v>
      </c>
    </row>
    <row r="7" spans="1:8" x14ac:dyDescent="0.25">
      <c r="A7">
        <v>1</v>
      </c>
      <c r="B7" s="1">
        <v>0.1673611111111111</v>
      </c>
      <c r="C7" s="2">
        <v>0.53</v>
      </c>
      <c r="D7">
        <v>5</v>
      </c>
      <c r="E7">
        <v>3</v>
      </c>
      <c r="F7" s="2">
        <v>23.49</v>
      </c>
      <c r="G7" s="2">
        <v>0.51</v>
      </c>
      <c r="H7" s="2">
        <f t="shared" si="0"/>
        <v>0.99960000000000004</v>
      </c>
    </row>
    <row r="8" spans="1:8" x14ac:dyDescent="0.25">
      <c r="A8">
        <v>1</v>
      </c>
      <c r="B8" s="1">
        <v>0.18958333333333333</v>
      </c>
      <c r="C8" s="2">
        <v>0.53</v>
      </c>
      <c r="D8">
        <v>5</v>
      </c>
      <c r="E8">
        <v>3</v>
      </c>
      <c r="F8" s="2">
        <v>23.48</v>
      </c>
      <c r="G8" s="2">
        <v>0.52</v>
      </c>
      <c r="H8" s="2">
        <f t="shared" si="0"/>
        <v>1.0192000000000001</v>
      </c>
    </row>
    <row r="9" spans="1:8" x14ac:dyDescent="0.25">
      <c r="A9">
        <v>1</v>
      </c>
      <c r="B9" s="1">
        <v>0.20624999999999999</v>
      </c>
      <c r="C9" s="2">
        <v>0.53</v>
      </c>
      <c r="D9">
        <v>5</v>
      </c>
      <c r="E9">
        <v>3</v>
      </c>
      <c r="F9" s="2">
        <v>23.47</v>
      </c>
      <c r="G9" s="2">
        <v>0.52</v>
      </c>
      <c r="H9" s="2">
        <f t="shared" si="0"/>
        <v>1.0192000000000001</v>
      </c>
    </row>
    <row r="10" spans="1:8" x14ac:dyDescent="0.25">
      <c r="A10">
        <v>2</v>
      </c>
      <c r="B10" s="1">
        <v>1.3888888888888889E-3</v>
      </c>
      <c r="C10" s="2">
        <v>0.53</v>
      </c>
      <c r="D10">
        <v>5</v>
      </c>
      <c r="E10">
        <v>3</v>
      </c>
      <c r="F10" s="2">
        <v>23.52</v>
      </c>
      <c r="G10" s="2">
        <v>0.52</v>
      </c>
      <c r="H10" s="2">
        <f t="shared" si="0"/>
        <v>1.0192000000000001</v>
      </c>
    </row>
    <row r="11" spans="1:8" x14ac:dyDescent="0.25">
      <c r="A11">
        <v>2</v>
      </c>
      <c r="B11" s="1">
        <v>2.6388888888888889E-2</v>
      </c>
      <c r="C11" s="2">
        <v>0.53</v>
      </c>
      <c r="D11">
        <v>5</v>
      </c>
      <c r="E11">
        <v>3</v>
      </c>
      <c r="F11" s="2">
        <v>23.29</v>
      </c>
      <c r="G11" s="2">
        <v>0.59</v>
      </c>
      <c r="H11" s="2">
        <f t="shared" si="0"/>
        <v>1.1563999999999999</v>
      </c>
    </row>
    <row r="12" spans="1:8" x14ac:dyDescent="0.25">
      <c r="A12">
        <v>2</v>
      </c>
      <c r="B12" s="1">
        <v>4.3055555555555555E-2</v>
      </c>
      <c r="C12" s="2">
        <v>0.53</v>
      </c>
      <c r="D12">
        <v>5</v>
      </c>
      <c r="E12">
        <v>3</v>
      </c>
      <c r="F12" s="2">
        <v>23.18</v>
      </c>
      <c r="G12" s="2">
        <v>0.53</v>
      </c>
      <c r="H12" s="2">
        <f t="shared" si="0"/>
        <v>1.0387999999999999</v>
      </c>
    </row>
    <row r="13" spans="1:8" x14ac:dyDescent="0.25">
      <c r="A13">
        <v>2</v>
      </c>
      <c r="B13" s="1">
        <v>6.458333333333334E-2</v>
      </c>
      <c r="C13" s="2">
        <v>0.53</v>
      </c>
      <c r="D13">
        <v>5</v>
      </c>
      <c r="E13">
        <v>3</v>
      </c>
      <c r="F13" s="2">
        <v>23.13</v>
      </c>
      <c r="G13" s="2">
        <v>0.52</v>
      </c>
      <c r="H13" s="2">
        <f t="shared" si="0"/>
        <v>1.0192000000000001</v>
      </c>
    </row>
    <row r="14" spans="1:8" x14ac:dyDescent="0.25">
      <c r="A14">
        <v>2</v>
      </c>
      <c r="B14" s="1">
        <v>8.2638888888888887E-2</v>
      </c>
      <c r="C14" s="2">
        <v>0.53</v>
      </c>
      <c r="D14">
        <v>5</v>
      </c>
      <c r="E14">
        <v>3</v>
      </c>
      <c r="F14" s="2">
        <v>23.12</v>
      </c>
      <c r="G14" s="2">
        <v>0.52</v>
      </c>
      <c r="H14" s="2">
        <f t="shared" si="0"/>
        <v>1.0192000000000001</v>
      </c>
    </row>
    <row r="15" spans="1:8" x14ac:dyDescent="0.25">
      <c r="A15">
        <v>2</v>
      </c>
      <c r="B15" s="1">
        <v>0.10486111111111111</v>
      </c>
      <c r="C15" s="2">
        <v>0.53</v>
      </c>
      <c r="D15">
        <v>5</v>
      </c>
      <c r="E15">
        <v>3</v>
      </c>
      <c r="F15" s="2">
        <v>23.11</v>
      </c>
      <c r="G15" s="2">
        <v>0.53</v>
      </c>
      <c r="H15" s="2">
        <f t="shared" si="0"/>
        <v>1.0387999999999999</v>
      </c>
    </row>
    <row r="16" spans="1:8" x14ac:dyDescent="0.25">
      <c r="A16">
        <v>2</v>
      </c>
      <c r="B16" s="1">
        <v>0.12569444444444444</v>
      </c>
      <c r="C16" s="2">
        <v>0.53</v>
      </c>
      <c r="D16">
        <v>5</v>
      </c>
      <c r="E16">
        <v>3</v>
      </c>
      <c r="F16" s="2">
        <v>23.12</v>
      </c>
      <c r="G16" s="2">
        <v>0.53</v>
      </c>
      <c r="H16" s="2">
        <f t="shared" si="0"/>
        <v>1.0387999999999999</v>
      </c>
    </row>
    <row r="17" spans="1:8" x14ac:dyDescent="0.25">
      <c r="A17">
        <v>2</v>
      </c>
      <c r="B17" s="1">
        <v>0.14583333333333334</v>
      </c>
      <c r="C17" s="2">
        <v>0.53</v>
      </c>
      <c r="D17">
        <v>5</v>
      </c>
      <c r="E17">
        <v>3</v>
      </c>
      <c r="F17" s="2">
        <v>23.13</v>
      </c>
      <c r="G17" s="2">
        <v>0.53</v>
      </c>
      <c r="H17" s="2">
        <f t="shared" si="0"/>
        <v>1.0387999999999999</v>
      </c>
    </row>
    <row r="18" spans="1:8" x14ac:dyDescent="0.25">
      <c r="A18">
        <v>2</v>
      </c>
      <c r="B18" s="1">
        <v>0.16805555555555557</v>
      </c>
      <c r="C18" s="2">
        <v>0.53</v>
      </c>
      <c r="D18">
        <v>5</v>
      </c>
      <c r="E18">
        <v>3</v>
      </c>
      <c r="F18" s="2">
        <v>23.14</v>
      </c>
      <c r="G18" s="2">
        <v>0.53</v>
      </c>
      <c r="H18" s="2">
        <f t="shared" si="0"/>
        <v>1.0387999999999999</v>
      </c>
    </row>
    <row r="19" spans="1:8" x14ac:dyDescent="0.25">
      <c r="A19">
        <v>2</v>
      </c>
      <c r="B19" s="1">
        <v>0.18819444444444444</v>
      </c>
      <c r="C19" s="2">
        <v>0.53</v>
      </c>
      <c r="D19">
        <v>5</v>
      </c>
      <c r="E19">
        <v>3</v>
      </c>
      <c r="F19" s="2">
        <v>23.14</v>
      </c>
      <c r="G19" s="2">
        <v>0.54</v>
      </c>
      <c r="H19" s="2">
        <f t="shared" si="0"/>
        <v>1.0584</v>
      </c>
    </row>
    <row r="20" spans="1:8" x14ac:dyDescent="0.25">
      <c r="A20">
        <v>2</v>
      </c>
      <c r="B20" s="1">
        <v>0.20972222222222223</v>
      </c>
      <c r="C20" s="2">
        <v>0.53</v>
      </c>
      <c r="D20">
        <v>5</v>
      </c>
      <c r="E20">
        <v>3</v>
      </c>
      <c r="F20" s="2">
        <v>23.14</v>
      </c>
      <c r="G20" s="2">
        <v>0.54</v>
      </c>
      <c r="H20" s="2">
        <f t="shared" si="0"/>
        <v>1.0584</v>
      </c>
    </row>
    <row r="21" spans="1:8" x14ac:dyDescent="0.25">
      <c r="A21">
        <v>3</v>
      </c>
      <c r="B21" s="1">
        <v>5.5555555555555558E-3</v>
      </c>
      <c r="C21" s="2">
        <v>0.53</v>
      </c>
      <c r="D21">
        <v>5</v>
      </c>
      <c r="E21">
        <v>3</v>
      </c>
      <c r="F21" s="2">
        <v>23.17</v>
      </c>
      <c r="G21" s="2">
        <v>0.54</v>
      </c>
      <c r="H21" s="2">
        <f t="shared" si="0"/>
        <v>1.0584</v>
      </c>
    </row>
    <row r="22" spans="1:8" x14ac:dyDescent="0.25">
      <c r="A22">
        <v>3</v>
      </c>
      <c r="B22" s="1">
        <v>2.0833333333333332E-2</v>
      </c>
      <c r="C22" s="2">
        <v>0.53</v>
      </c>
      <c r="D22">
        <v>5</v>
      </c>
      <c r="E22">
        <v>3</v>
      </c>
      <c r="F22" s="2">
        <v>22.8</v>
      </c>
      <c r="G22" s="2">
        <v>0.55000000000000004</v>
      </c>
      <c r="H22" s="2">
        <f t="shared" si="0"/>
        <v>1.0780000000000001</v>
      </c>
    </row>
    <row r="23" spans="1:8" x14ac:dyDescent="0.25">
      <c r="A23">
        <v>3</v>
      </c>
      <c r="B23" s="1">
        <v>4.2361111111111113E-2</v>
      </c>
      <c r="C23" s="2">
        <v>0.53</v>
      </c>
      <c r="D23">
        <v>5</v>
      </c>
      <c r="E23">
        <v>3</v>
      </c>
      <c r="F23" s="2">
        <v>22.28</v>
      </c>
      <c r="G23" s="2">
        <v>0.54</v>
      </c>
      <c r="H23" s="2">
        <f t="shared" si="0"/>
        <v>1.0584</v>
      </c>
    </row>
    <row r="24" spans="1:8" x14ac:dyDescent="0.25">
      <c r="A24">
        <v>3</v>
      </c>
      <c r="B24" s="1">
        <v>6.3194444444444442E-2</v>
      </c>
      <c r="C24" s="2">
        <v>0.53</v>
      </c>
      <c r="D24">
        <v>5</v>
      </c>
      <c r="E24">
        <v>3</v>
      </c>
      <c r="F24" s="2">
        <v>22.09</v>
      </c>
      <c r="G24" s="2">
        <v>0.54</v>
      </c>
      <c r="H24" s="2">
        <f t="shared" si="0"/>
        <v>1.0584</v>
      </c>
    </row>
    <row r="25" spans="1:8" x14ac:dyDescent="0.25">
      <c r="A25">
        <v>3</v>
      </c>
      <c r="B25" s="1">
        <v>8.3333333333333329E-2</v>
      </c>
      <c r="C25" s="2">
        <v>0.53</v>
      </c>
      <c r="D25">
        <v>5</v>
      </c>
      <c r="E25">
        <v>3</v>
      </c>
      <c r="F25" s="2">
        <v>21.98</v>
      </c>
      <c r="G25" s="2">
        <v>0.54</v>
      </c>
      <c r="H25" s="2">
        <f t="shared" si="0"/>
        <v>1.0584</v>
      </c>
    </row>
    <row r="26" spans="1:8" x14ac:dyDescent="0.25">
      <c r="A26">
        <v>3</v>
      </c>
      <c r="B26" s="1">
        <v>0.10486111111111111</v>
      </c>
      <c r="C26" s="2">
        <v>0.53</v>
      </c>
      <c r="D26">
        <v>5</v>
      </c>
      <c r="E26">
        <v>3</v>
      </c>
      <c r="F26" s="2">
        <v>21.97</v>
      </c>
      <c r="G26" s="2">
        <v>0.53</v>
      </c>
      <c r="H26" s="2">
        <f t="shared" si="0"/>
        <v>1.0387999999999999</v>
      </c>
    </row>
    <row r="27" spans="1:8" x14ac:dyDescent="0.25">
      <c r="A27">
        <v>3</v>
      </c>
      <c r="B27" s="1">
        <v>0.12569444444444444</v>
      </c>
      <c r="C27" s="2">
        <v>0.53</v>
      </c>
      <c r="D27">
        <v>5</v>
      </c>
      <c r="E27">
        <v>3</v>
      </c>
      <c r="F27" s="2">
        <v>21.86</v>
      </c>
      <c r="G27" s="2">
        <v>0.54</v>
      </c>
      <c r="H27" s="2">
        <f t="shared" si="0"/>
        <v>1.0584</v>
      </c>
    </row>
    <row r="28" spans="1:8" x14ac:dyDescent="0.25">
      <c r="A28">
        <v>3</v>
      </c>
      <c r="B28" s="1">
        <v>0.14722222222222223</v>
      </c>
      <c r="C28" s="2">
        <v>0.53</v>
      </c>
      <c r="D28">
        <v>5</v>
      </c>
      <c r="E28">
        <v>3</v>
      </c>
      <c r="F28" s="2">
        <v>21.84</v>
      </c>
      <c r="G28" s="2">
        <v>0.53</v>
      </c>
      <c r="H28" s="2">
        <f t="shared" si="0"/>
        <v>1.0387999999999999</v>
      </c>
    </row>
    <row r="29" spans="1:8" x14ac:dyDescent="0.25">
      <c r="A29">
        <v>3</v>
      </c>
      <c r="B29" s="1">
        <v>0.1673611111111111</v>
      </c>
      <c r="C29" s="2">
        <v>0.53</v>
      </c>
      <c r="D29">
        <v>5</v>
      </c>
      <c r="E29">
        <v>3</v>
      </c>
      <c r="F29" s="2">
        <v>21.82</v>
      </c>
      <c r="G29" s="2">
        <v>0.54</v>
      </c>
      <c r="H29" s="2">
        <f t="shared" si="0"/>
        <v>1.0584</v>
      </c>
    </row>
    <row r="30" spans="1:8" x14ac:dyDescent="0.25">
      <c r="A30">
        <v>3</v>
      </c>
      <c r="B30" s="1">
        <v>0.1875</v>
      </c>
      <c r="C30" s="2">
        <v>0.53</v>
      </c>
      <c r="D30">
        <v>5</v>
      </c>
      <c r="E30">
        <v>3</v>
      </c>
      <c r="F30" s="2">
        <v>21.8</v>
      </c>
      <c r="G30" s="2">
        <v>0.54</v>
      </c>
      <c r="H30" s="2">
        <f t="shared" si="0"/>
        <v>1.0584</v>
      </c>
    </row>
    <row r="31" spans="1:8" x14ac:dyDescent="0.25">
      <c r="A31">
        <v>3</v>
      </c>
      <c r="B31" s="1">
        <v>0.20833333333333334</v>
      </c>
      <c r="C31" s="2">
        <v>0.53</v>
      </c>
      <c r="D31">
        <v>5</v>
      </c>
      <c r="E31">
        <v>3</v>
      </c>
      <c r="F31" s="2">
        <v>21.79</v>
      </c>
      <c r="G31" s="2">
        <v>0.54</v>
      </c>
      <c r="H31" s="2">
        <f t="shared" si="0"/>
        <v>1.0584</v>
      </c>
    </row>
    <row r="32" spans="1:8" x14ac:dyDescent="0.25">
      <c r="A32">
        <v>3</v>
      </c>
      <c r="B32" s="1">
        <v>0.22638888888888889</v>
      </c>
      <c r="C32" s="2">
        <v>0.53</v>
      </c>
      <c r="D32">
        <v>5</v>
      </c>
      <c r="E32">
        <v>3</v>
      </c>
      <c r="F32" s="2">
        <v>21.79</v>
      </c>
      <c r="G32" s="2">
        <v>0.53</v>
      </c>
      <c r="H32" s="2">
        <f t="shared" si="0"/>
        <v>1.0387999999999999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F274-3AD4-4BC8-92A5-32FB1E33F522}">
  <dimension ref="A1:H32"/>
  <sheetViews>
    <sheetView workbookViewId="0">
      <selection activeCell="C25" sqref="C25:C32"/>
    </sheetView>
  </sheetViews>
  <sheetFormatPr defaultRowHeight="15" x14ac:dyDescent="0.25"/>
  <cols>
    <col min="4" max="4" width="18.5703125" bestFit="1" customWidth="1"/>
    <col min="5" max="5" width="15.5703125" bestFit="1" customWidth="1"/>
    <col min="6" max="6" width="21.42578125" style="2" bestFit="1" customWidth="1"/>
    <col min="7" max="7" width="12.28515625" style="2" bestFit="1" customWidth="1"/>
    <col min="8" max="8" width="8.7109375" style="2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1.3888888888888889E-3</v>
      </c>
      <c r="C2" s="2">
        <v>0.68</v>
      </c>
      <c r="D2">
        <v>5</v>
      </c>
      <c r="E2">
        <v>3</v>
      </c>
      <c r="F2" s="2">
        <v>18.899999999999999</v>
      </c>
      <c r="G2" s="2">
        <v>0.65</v>
      </c>
      <c r="H2" s="2">
        <f>G2*1.96</f>
        <v>1.274</v>
      </c>
    </row>
    <row r="3" spans="1:8" x14ac:dyDescent="0.25">
      <c r="A3">
        <v>1</v>
      </c>
      <c r="B3" s="1">
        <v>2.1527777777777778E-2</v>
      </c>
      <c r="C3" s="2">
        <v>0.68</v>
      </c>
      <c r="D3">
        <v>5</v>
      </c>
      <c r="E3">
        <v>3</v>
      </c>
      <c r="F3" s="2">
        <v>18.77</v>
      </c>
      <c r="G3" s="2">
        <v>0.65</v>
      </c>
      <c r="H3" s="2">
        <f t="shared" ref="H3:H32" si="0">G3*1.96</f>
        <v>1.274</v>
      </c>
    </row>
    <row r="4" spans="1:8" x14ac:dyDescent="0.25">
      <c r="A4">
        <v>1</v>
      </c>
      <c r="B4" s="1">
        <v>4.2361111111111113E-2</v>
      </c>
      <c r="C4" s="2">
        <v>0.68</v>
      </c>
      <c r="D4">
        <v>5</v>
      </c>
      <c r="E4">
        <v>3</v>
      </c>
      <c r="F4" s="2">
        <v>18.66</v>
      </c>
      <c r="G4" s="2">
        <v>0.64</v>
      </c>
      <c r="H4" s="2">
        <f t="shared" si="0"/>
        <v>1.2544</v>
      </c>
    </row>
    <row r="5" spans="1:8" x14ac:dyDescent="0.25">
      <c r="A5">
        <v>1</v>
      </c>
      <c r="B5" s="1">
        <v>7.4305555555555555E-2</v>
      </c>
      <c r="C5" s="2">
        <v>0.68</v>
      </c>
      <c r="D5">
        <v>5</v>
      </c>
      <c r="E5">
        <v>3</v>
      </c>
      <c r="F5" s="2">
        <v>18.579999999999998</v>
      </c>
      <c r="G5" s="2">
        <v>0.64</v>
      </c>
      <c r="H5" s="2">
        <f t="shared" si="0"/>
        <v>1.2544</v>
      </c>
    </row>
    <row r="6" spans="1:8" x14ac:dyDescent="0.25">
      <c r="A6">
        <v>1</v>
      </c>
      <c r="B6" s="1">
        <v>8.3333333333333329E-2</v>
      </c>
      <c r="C6" s="2">
        <v>0.68</v>
      </c>
      <c r="D6">
        <v>5</v>
      </c>
      <c r="E6">
        <v>3</v>
      </c>
      <c r="F6" s="2">
        <v>18.57</v>
      </c>
      <c r="G6" s="2">
        <v>0.64</v>
      </c>
      <c r="H6" s="2">
        <f t="shared" si="0"/>
        <v>1.2544</v>
      </c>
    </row>
    <row r="7" spans="1:8" x14ac:dyDescent="0.25">
      <c r="A7">
        <v>1</v>
      </c>
      <c r="B7" s="1">
        <v>0.11527777777777778</v>
      </c>
      <c r="C7" s="2">
        <v>0.68</v>
      </c>
      <c r="D7">
        <v>5</v>
      </c>
      <c r="E7">
        <v>3</v>
      </c>
      <c r="F7" s="2">
        <v>18.55</v>
      </c>
      <c r="G7" s="2">
        <v>0.64</v>
      </c>
      <c r="H7" s="2">
        <f t="shared" si="0"/>
        <v>1.2544</v>
      </c>
    </row>
    <row r="8" spans="1:8" x14ac:dyDescent="0.25">
      <c r="A8">
        <v>1</v>
      </c>
      <c r="B8" s="1">
        <v>0.13125000000000001</v>
      </c>
      <c r="C8" s="2">
        <v>0.68</v>
      </c>
      <c r="D8">
        <v>5</v>
      </c>
      <c r="E8">
        <v>3</v>
      </c>
      <c r="F8" s="2">
        <v>18.55</v>
      </c>
      <c r="G8" s="2">
        <v>0.64</v>
      </c>
      <c r="H8" s="2">
        <f t="shared" si="0"/>
        <v>1.2544</v>
      </c>
    </row>
    <row r="9" spans="1:8" x14ac:dyDescent="0.25">
      <c r="A9">
        <v>1</v>
      </c>
      <c r="B9" s="1">
        <v>0.14861111111111111</v>
      </c>
      <c r="C9" s="2">
        <v>0.68</v>
      </c>
      <c r="D9">
        <v>5</v>
      </c>
      <c r="E9">
        <v>3</v>
      </c>
      <c r="F9" s="2">
        <v>18.54</v>
      </c>
      <c r="G9" s="2">
        <v>0.63</v>
      </c>
      <c r="H9" s="2">
        <f t="shared" si="0"/>
        <v>1.2347999999999999</v>
      </c>
    </row>
    <row r="10" spans="1:8" x14ac:dyDescent="0.25">
      <c r="A10">
        <v>1</v>
      </c>
      <c r="B10" s="1">
        <v>0.1763888888888889</v>
      </c>
      <c r="C10" s="2">
        <v>0.68</v>
      </c>
      <c r="D10">
        <v>5</v>
      </c>
      <c r="E10">
        <v>3</v>
      </c>
      <c r="F10" s="2">
        <v>18.54</v>
      </c>
      <c r="G10" s="2">
        <v>0.64</v>
      </c>
      <c r="H10" s="2">
        <f t="shared" si="0"/>
        <v>1.2544</v>
      </c>
    </row>
    <row r="11" spans="1:8" x14ac:dyDescent="0.25">
      <c r="A11">
        <v>2</v>
      </c>
      <c r="B11" s="1">
        <v>4.8611111111111112E-3</v>
      </c>
      <c r="C11" s="2">
        <v>0.68</v>
      </c>
      <c r="D11">
        <v>5</v>
      </c>
      <c r="E11">
        <v>3</v>
      </c>
      <c r="F11" s="2">
        <v>18.82</v>
      </c>
      <c r="G11" s="2">
        <v>0.69</v>
      </c>
      <c r="H11" s="2">
        <f t="shared" si="0"/>
        <v>1.3523999999999998</v>
      </c>
    </row>
    <row r="12" spans="1:8" x14ac:dyDescent="0.25">
      <c r="A12">
        <v>2</v>
      </c>
      <c r="B12" s="1">
        <v>2.0833333333333332E-2</v>
      </c>
      <c r="C12" s="2">
        <v>0.68</v>
      </c>
      <c r="D12">
        <v>5</v>
      </c>
      <c r="E12">
        <v>3</v>
      </c>
      <c r="F12" s="2">
        <v>18.690000000000001</v>
      </c>
      <c r="G12" s="2">
        <v>0.72</v>
      </c>
      <c r="H12" s="2">
        <f t="shared" si="0"/>
        <v>1.4112</v>
      </c>
    </row>
    <row r="13" spans="1:8" x14ac:dyDescent="0.25">
      <c r="A13">
        <v>2</v>
      </c>
      <c r="B13" s="1">
        <v>4.3055555555555555E-2</v>
      </c>
      <c r="C13" s="2">
        <v>0.68</v>
      </c>
      <c r="D13">
        <v>5</v>
      </c>
      <c r="E13">
        <v>3</v>
      </c>
      <c r="F13" s="2">
        <v>18.5</v>
      </c>
      <c r="G13" s="2">
        <v>0.63</v>
      </c>
      <c r="H13" s="2">
        <f t="shared" si="0"/>
        <v>1.2347999999999999</v>
      </c>
    </row>
    <row r="14" spans="1:8" x14ac:dyDescent="0.25">
      <c r="A14">
        <v>2</v>
      </c>
      <c r="B14" s="1">
        <v>6.3194444444444442E-2</v>
      </c>
      <c r="C14" s="2">
        <v>0.68</v>
      </c>
      <c r="D14">
        <v>5</v>
      </c>
      <c r="E14">
        <v>3</v>
      </c>
      <c r="F14" s="2">
        <v>18.420000000000002</v>
      </c>
      <c r="G14" s="2">
        <v>0.61</v>
      </c>
      <c r="H14" s="2">
        <f t="shared" si="0"/>
        <v>1.1956</v>
      </c>
    </row>
    <row r="15" spans="1:8" x14ac:dyDescent="0.25">
      <c r="A15">
        <v>2</v>
      </c>
      <c r="B15" s="1">
        <v>8.819444444444445E-2</v>
      </c>
      <c r="C15" s="2">
        <v>0.68</v>
      </c>
      <c r="D15">
        <v>5</v>
      </c>
      <c r="E15">
        <v>3</v>
      </c>
      <c r="F15" s="2">
        <v>18.37</v>
      </c>
      <c r="G15" s="2">
        <v>0.59</v>
      </c>
      <c r="H15" s="2">
        <f t="shared" si="0"/>
        <v>1.1563999999999999</v>
      </c>
    </row>
    <row r="16" spans="1:8" x14ac:dyDescent="0.25">
      <c r="A16">
        <v>2</v>
      </c>
      <c r="B16" s="1">
        <v>0.10486111111111111</v>
      </c>
      <c r="C16" s="2">
        <v>0.68</v>
      </c>
      <c r="D16">
        <v>5</v>
      </c>
      <c r="E16">
        <v>3</v>
      </c>
      <c r="F16" s="2">
        <v>18.350000000000001</v>
      </c>
      <c r="G16" s="2">
        <v>0.59</v>
      </c>
      <c r="H16" s="2">
        <f t="shared" si="0"/>
        <v>1.1563999999999999</v>
      </c>
    </row>
    <row r="17" spans="1:8" x14ac:dyDescent="0.25">
      <c r="A17">
        <v>2</v>
      </c>
      <c r="B17" s="1">
        <v>0.13125000000000001</v>
      </c>
      <c r="C17" s="2">
        <v>0.68</v>
      </c>
      <c r="D17">
        <v>5</v>
      </c>
      <c r="E17">
        <v>3</v>
      </c>
      <c r="F17" s="2">
        <v>18.350000000000001</v>
      </c>
      <c r="G17" s="2">
        <v>0.62</v>
      </c>
      <c r="H17" s="2">
        <f t="shared" si="0"/>
        <v>1.2152000000000001</v>
      </c>
    </row>
    <row r="18" spans="1:8" x14ac:dyDescent="0.25">
      <c r="A18">
        <v>2</v>
      </c>
      <c r="B18" s="1">
        <v>0.15138888888888888</v>
      </c>
      <c r="C18" s="2">
        <v>0.68</v>
      </c>
      <c r="D18">
        <v>5</v>
      </c>
      <c r="E18">
        <v>3</v>
      </c>
      <c r="F18" s="2">
        <v>18.32</v>
      </c>
      <c r="G18" s="2">
        <v>0.63</v>
      </c>
      <c r="H18" s="2">
        <f t="shared" si="0"/>
        <v>1.2347999999999999</v>
      </c>
    </row>
    <row r="19" spans="1:8" x14ac:dyDescent="0.25">
      <c r="A19">
        <v>2</v>
      </c>
      <c r="B19" s="1">
        <v>0.1673611111111111</v>
      </c>
      <c r="C19" s="2">
        <v>0.68</v>
      </c>
      <c r="D19">
        <v>5</v>
      </c>
      <c r="E19">
        <v>3</v>
      </c>
      <c r="F19" s="2">
        <v>18.32</v>
      </c>
      <c r="G19" s="2">
        <v>0.63</v>
      </c>
      <c r="H19" s="2">
        <f t="shared" si="0"/>
        <v>1.2347999999999999</v>
      </c>
    </row>
    <row r="20" spans="1:8" x14ac:dyDescent="0.25">
      <c r="A20">
        <v>2</v>
      </c>
      <c r="B20" s="1">
        <v>0.19236111111111112</v>
      </c>
      <c r="C20" s="2">
        <v>0.68</v>
      </c>
      <c r="D20">
        <v>5</v>
      </c>
      <c r="E20">
        <v>3</v>
      </c>
      <c r="F20" s="2">
        <v>18.34</v>
      </c>
      <c r="G20" s="2">
        <v>0.62</v>
      </c>
      <c r="H20" s="2">
        <f t="shared" si="0"/>
        <v>1.2152000000000001</v>
      </c>
    </row>
    <row r="21" spans="1:8" x14ac:dyDescent="0.25">
      <c r="A21">
        <v>2</v>
      </c>
      <c r="B21" s="1">
        <v>0.20833333333333334</v>
      </c>
      <c r="C21" s="2">
        <v>0.68</v>
      </c>
      <c r="D21">
        <v>5</v>
      </c>
      <c r="E21">
        <v>3</v>
      </c>
      <c r="F21" s="2">
        <v>18.34</v>
      </c>
      <c r="G21" s="2">
        <v>0.62</v>
      </c>
      <c r="H21" s="2">
        <f t="shared" si="0"/>
        <v>1.2152000000000001</v>
      </c>
    </row>
    <row r="22" spans="1:8" x14ac:dyDescent="0.25">
      <c r="A22">
        <v>3</v>
      </c>
      <c r="B22" s="1">
        <v>9.7222222222222224E-3</v>
      </c>
      <c r="C22" s="2">
        <v>0.68</v>
      </c>
      <c r="D22">
        <v>5</v>
      </c>
      <c r="E22">
        <v>3</v>
      </c>
      <c r="F22" s="2">
        <v>18.55</v>
      </c>
      <c r="G22" s="2">
        <v>0.77</v>
      </c>
      <c r="H22" s="2">
        <f t="shared" si="0"/>
        <v>1.5092000000000001</v>
      </c>
    </row>
    <row r="23" spans="1:8" x14ac:dyDescent="0.25">
      <c r="A23">
        <v>3</v>
      </c>
      <c r="B23" s="1">
        <v>2.6388888888888889E-2</v>
      </c>
      <c r="C23" s="2">
        <v>0.68</v>
      </c>
      <c r="D23">
        <v>5</v>
      </c>
      <c r="E23">
        <v>3</v>
      </c>
      <c r="F23" s="2">
        <v>18.559999999999999</v>
      </c>
      <c r="G23" s="2">
        <v>0.74</v>
      </c>
      <c r="H23" s="2">
        <f t="shared" si="0"/>
        <v>1.4503999999999999</v>
      </c>
    </row>
    <row r="24" spans="1:8" x14ac:dyDescent="0.25">
      <c r="A24">
        <v>3</v>
      </c>
      <c r="B24" s="1">
        <v>4.0972222222222222E-2</v>
      </c>
      <c r="C24" s="2">
        <v>0.68</v>
      </c>
      <c r="D24">
        <v>5</v>
      </c>
      <c r="E24">
        <v>3</v>
      </c>
      <c r="F24" s="2">
        <v>18.55</v>
      </c>
      <c r="G24" s="2">
        <v>0.68</v>
      </c>
      <c r="H24" s="2">
        <f t="shared" si="0"/>
        <v>1.3328</v>
      </c>
    </row>
    <row r="25" spans="1:8" x14ac:dyDescent="0.25">
      <c r="A25">
        <v>3</v>
      </c>
      <c r="B25" s="1">
        <v>6.3194444444444442E-2</v>
      </c>
      <c r="C25" s="2">
        <v>0.68</v>
      </c>
      <c r="D25">
        <v>5</v>
      </c>
      <c r="E25">
        <v>3</v>
      </c>
      <c r="F25" s="2">
        <v>18.57</v>
      </c>
      <c r="G25" s="2">
        <v>0.64</v>
      </c>
      <c r="H25" s="2">
        <f t="shared" si="0"/>
        <v>1.2544</v>
      </c>
    </row>
    <row r="26" spans="1:8" x14ac:dyDescent="0.25">
      <c r="A26">
        <v>3</v>
      </c>
      <c r="B26" s="1">
        <v>8.4027777777777785E-2</v>
      </c>
      <c r="C26" s="2">
        <v>0.68</v>
      </c>
      <c r="D26">
        <v>5</v>
      </c>
      <c r="E26">
        <v>3</v>
      </c>
      <c r="F26" s="2">
        <v>18.579999999999998</v>
      </c>
      <c r="G26" s="2">
        <v>0.62</v>
      </c>
      <c r="H26" s="2">
        <f t="shared" si="0"/>
        <v>1.2152000000000001</v>
      </c>
    </row>
    <row r="27" spans="1:8" x14ac:dyDescent="0.25">
      <c r="A27">
        <v>3</v>
      </c>
      <c r="B27" s="1">
        <v>0.10416666666666667</v>
      </c>
      <c r="C27" s="2">
        <v>0.68</v>
      </c>
      <c r="D27">
        <v>5</v>
      </c>
      <c r="E27">
        <v>3</v>
      </c>
      <c r="F27" s="2">
        <v>18.579999999999998</v>
      </c>
      <c r="G27" s="2">
        <v>0.61</v>
      </c>
      <c r="H27" s="2">
        <f t="shared" si="0"/>
        <v>1.1956</v>
      </c>
    </row>
    <row r="28" spans="1:8" x14ac:dyDescent="0.25">
      <c r="A28">
        <v>3</v>
      </c>
      <c r="B28" s="1">
        <v>0.12847222222222221</v>
      </c>
      <c r="C28" s="2">
        <v>0.68</v>
      </c>
      <c r="D28">
        <v>5</v>
      </c>
      <c r="E28">
        <v>3</v>
      </c>
      <c r="F28" s="2">
        <v>18.57</v>
      </c>
      <c r="G28" s="2">
        <v>0.6</v>
      </c>
      <c r="H28" s="2">
        <f t="shared" si="0"/>
        <v>1.1759999999999999</v>
      </c>
    </row>
    <row r="29" spans="1:8" x14ac:dyDescent="0.25">
      <c r="A29">
        <v>3</v>
      </c>
      <c r="B29" s="1">
        <v>0.16111111111111112</v>
      </c>
      <c r="C29" s="2">
        <v>0.68</v>
      </c>
      <c r="D29">
        <v>5</v>
      </c>
      <c r="E29">
        <v>3</v>
      </c>
      <c r="F29" s="2">
        <v>18.579999999999998</v>
      </c>
      <c r="G29" s="2">
        <v>0.62</v>
      </c>
      <c r="H29" s="2">
        <f t="shared" si="0"/>
        <v>1.2152000000000001</v>
      </c>
    </row>
    <row r="30" spans="1:8" x14ac:dyDescent="0.25">
      <c r="A30">
        <v>3</v>
      </c>
      <c r="B30" s="1">
        <v>0.18680555555555556</v>
      </c>
      <c r="C30" s="2">
        <v>0.68</v>
      </c>
      <c r="D30">
        <v>5</v>
      </c>
      <c r="E30">
        <v>3</v>
      </c>
      <c r="F30" s="2">
        <v>18.579999999999998</v>
      </c>
      <c r="G30" s="2">
        <v>0.64</v>
      </c>
      <c r="H30" s="2">
        <f t="shared" si="0"/>
        <v>1.2544</v>
      </c>
    </row>
    <row r="31" spans="1:8" x14ac:dyDescent="0.25">
      <c r="A31">
        <v>3</v>
      </c>
      <c r="B31" s="1">
        <v>0.20972222222222223</v>
      </c>
      <c r="C31" s="2">
        <v>0.68</v>
      </c>
      <c r="D31">
        <v>5</v>
      </c>
      <c r="E31">
        <v>3</v>
      </c>
      <c r="F31" s="2">
        <v>18.600000000000001</v>
      </c>
      <c r="G31" s="2">
        <v>0.65</v>
      </c>
      <c r="H31" s="2">
        <f t="shared" si="0"/>
        <v>1.274</v>
      </c>
    </row>
    <row r="32" spans="1:8" x14ac:dyDescent="0.25">
      <c r="A32">
        <v>3</v>
      </c>
      <c r="B32" s="1">
        <v>0.22083333333333333</v>
      </c>
      <c r="C32" s="2">
        <v>0.68</v>
      </c>
      <c r="D32">
        <v>5</v>
      </c>
      <c r="E32">
        <v>3</v>
      </c>
      <c r="F32" s="2">
        <v>18.29</v>
      </c>
      <c r="G32" s="2">
        <v>0.67</v>
      </c>
      <c r="H32" s="2">
        <f t="shared" si="0"/>
        <v>1.3132000000000001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03C9-770F-4E87-83AD-12C3B5D3A018}">
  <dimension ref="A1:H35"/>
  <sheetViews>
    <sheetView tabSelected="1" workbookViewId="0">
      <selection activeCell="M25" sqref="M25"/>
    </sheetView>
  </sheetViews>
  <sheetFormatPr defaultRowHeight="15" x14ac:dyDescent="0.25"/>
  <cols>
    <col min="4" max="4" width="18.5703125" bestFit="1" customWidth="1"/>
    <col min="5" max="5" width="15.5703125" bestFit="1" customWidth="1"/>
    <col min="6" max="6" width="21.42578125" style="2" bestFit="1" customWidth="1"/>
    <col min="7" max="7" width="12.28515625" style="2" bestFit="1" customWidth="1"/>
    <col min="8" max="8" width="8.7109375" style="2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6.9444444444444447E-4</v>
      </c>
      <c r="C2" s="2">
        <v>0.98</v>
      </c>
      <c r="D2">
        <v>5</v>
      </c>
      <c r="E2">
        <v>3</v>
      </c>
      <c r="F2" s="2">
        <v>19.27</v>
      </c>
      <c r="G2" s="2">
        <v>0.59</v>
      </c>
      <c r="H2" s="2">
        <f>G2*1.96</f>
        <v>1.1563999999999999</v>
      </c>
    </row>
    <row r="3" spans="1:8" x14ac:dyDescent="0.25">
      <c r="A3">
        <v>1</v>
      </c>
      <c r="B3" s="1">
        <v>2.2916666666666665E-2</v>
      </c>
      <c r="C3" s="2">
        <v>0.98</v>
      </c>
      <c r="D3">
        <v>5</v>
      </c>
      <c r="E3">
        <v>3</v>
      </c>
      <c r="F3" s="2">
        <v>19.329999999999998</v>
      </c>
      <c r="G3" s="2">
        <v>0.59</v>
      </c>
      <c r="H3" s="2">
        <f t="shared" ref="H3:H35" si="0">G3*1.96</f>
        <v>1.1563999999999999</v>
      </c>
    </row>
    <row r="4" spans="1:8" x14ac:dyDescent="0.25">
      <c r="A4">
        <v>1</v>
      </c>
      <c r="B4" s="1">
        <v>4.0972222222222222E-2</v>
      </c>
      <c r="C4" s="2">
        <v>0.98</v>
      </c>
      <c r="D4">
        <v>5</v>
      </c>
      <c r="E4">
        <v>3</v>
      </c>
      <c r="F4" s="2">
        <v>19.34</v>
      </c>
      <c r="G4" s="2">
        <v>0.57999999999999996</v>
      </c>
      <c r="H4" s="2">
        <f t="shared" si="0"/>
        <v>1.1367999999999998</v>
      </c>
    </row>
    <row r="5" spans="1:8" x14ac:dyDescent="0.25">
      <c r="A5">
        <v>1</v>
      </c>
      <c r="B5" s="1">
        <v>7.3611111111111113E-2</v>
      </c>
      <c r="C5" s="2">
        <v>0.98</v>
      </c>
      <c r="D5">
        <v>5</v>
      </c>
      <c r="E5">
        <v>3</v>
      </c>
      <c r="F5" s="2">
        <v>19.36</v>
      </c>
      <c r="G5" s="2">
        <v>0.59</v>
      </c>
      <c r="H5" s="2">
        <f t="shared" si="0"/>
        <v>1.1563999999999999</v>
      </c>
    </row>
    <row r="6" spans="1:8" x14ac:dyDescent="0.25">
      <c r="A6">
        <v>1</v>
      </c>
      <c r="B6" s="1">
        <v>8.5416666666666669E-2</v>
      </c>
      <c r="C6" s="2">
        <v>0.98</v>
      </c>
      <c r="D6">
        <v>5</v>
      </c>
      <c r="E6">
        <v>3</v>
      </c>
      <c r="F6" s="2">
        <v>19.37</v>
      </c>
      <c r="G6" s="2">
        <v>0.59</v>
      </c>
      <c r="H6" s="2">
        <f t="shared" si="0"/>
        <v>1.1563999999999999</v>
      </c>
    </row>
    <row r="7" spans="1:8" x14ac:dyDescent="0.25">
      <c r="A7">
        <v>1</v>
      </c>
      <c r="B7" s="1">
        <v>0.10694444444444444</v>
      </c>
      <c r="C7" s="2">
        <v>0.98</v>
      </c>
      <c r="D7">
        <v>5</v>
      </c>
      <c r="E7">
        <v>3</v>
      </c>
      <c r="F7" s="2">
        <v>19.37</v>
      </c>
      <c r="G7" s="2">
        <v>0.6</v>
      </c>
      <c r="H7" s="2">
        <f t="shared" si="0"/>
        <v>1.1759999999999999</v>
      </c>
    </row>
    <row r="8" spans="1:8" x14ac:dyDescent="0.25">
      <c r="A8">
        <v>1</v>
      </c>
      <c r="B8" s="1">
        <v>0.12361111111111112</v>
      </c>
      <c r="C8" s="2">
        <v>0.98</v>
      </c>
      <c r="D8">
        <v>5</v>
      </c>
      <c r="E8">
        <v>3</v>
      </c>
      <c r="F8" s="2">
        <v>19.37</v>
      </c>
      <c r="G8" s="2">
        <v>0.59</v>
      </c>
      <c r="H8" s="2">
        <f t="shared" si="0"/>
        <v>1.1563999999999999</v>
      </c>
    </row>
    <row r="9" spans="1:8" x14ac:dyDescent="0.25">
      <c r="A9">
        <v>1</v>
      </c>
      <c r="B9" s="1">
        <v>0.14583333333333334</v>
      </c>
      <c r="C9" s="2">
        <v>0.98</v>
      </c>
      <c r="D9">
        <v>5</v>
      </c>
      <c r="E9">
        <v>3</v>
      </c>
      <c r="F9" s="2">
        <v>19.37</v>
      </c>
      <c r="G9" s="2">
        <v>0.59</v>
      </c>
      <c r="H9" s="2">
        <f t="shared" si="0"/>
        <v>1.1563999999999999</v>
      </c>
    </row>
    <row r="10" spans="1:8" x14ac:dyDescent="0.25">
      <c r="A10">
        <v>1</v>
      </c>
      <c r="B10" s="1">
        <v>0.1701388888888889</v>
      </c>
      <c r="C10" s="2">
        <v>0.98</v>
      </c>
      <c r="D10">
        <v>5</v>
      </c>
      <c r="E10">
        <v>3</v>
      </c>
      <c r="F10" s="2">
        <v>19.37</v>
      </c>
      <c r="G10" s="2">
        <v>0.59</v>
      </c>
      <c r="H10" s="2">
        <f t="shared" si="0"/>
        <v>1.1563999999999999</v>
      </c>
    </row>
    <row r="11" spans="1:8" x14ac:dyDescent="0.25">
      <c r="A11">
        <v>1</v>
      </c>
      <c r="B11" s="1">
        <v>0.18194444444444444</v>
      </c>
      <c r="C11" s="2">
        <v>0.98</v>
      </c>
      <c r="D11">
        <v>5</v>
      </c>
      <c r="E11">
        <v>3</v>
      </c>
      <c r="F11" s="2">
        <v>19.38</v>
      </c>
      <c r="G11" s="2">
        <v>0.59</v>
      </c>
      <c r="H11" s="2">
        <f t="shared" si="0"/>
        <v>1.1563999999999999</v>
      </c>
    </row>
    <row r="12" spans="1:8" x14ac:dyDescent="0.25">
      <c r="A12">
        <v>2</v>
      </c>
      <c r="B12" s="1">
        <v>6.9444444444444447E-4</v>
      </c>
      <c r="C12" s="2">
        <v>0.98</v>
      </c>
      <c r="D12">
        <v>5</v>
      </c>
      <c r="E12">
        <v>3</v>
      </c>
      <c r="F12" s="2">
        <v>19.57</v>
      </c>
      <c r="G12" s="2">
        <v>0.67</v>
      </c>
      <c r="H12" s="2">
        <f t="shared" si="0"/>
        <v>1.3132000000000001</v>
      </c>
    </row>
    <row r="13" spans="1:8" x14ac:dyDescent="0.25">
      <c r="A13">
        <v>2</v>
      </c>
      <c r="B13" s="1">
        <v>2.7777777777777776E-2</v>
      </c>
      <c r="C13" s="2">
        <v>0.98</v>
      </c>
      <c r="D13">
        <v>5</v>
      </c>
      <c r="E13">
        <v>3</v>
      </c>
      <c r="F13" s="2">
        <v>19.03</v>
      </c>
      <c r="G13" s="2">
        <v>0.78</v>
      </c>
      <c r="H13" s="2">
        <f t="shared" si="0"/>
        <v>1.5287999999999999</v>
      </c>
    </row>
    <row r="14" spans="1:8" x14ac:dyDescent="0.25">
      <c r="A14">
        <v>2</v>
      </c>
      <c r="B14" s="1">
        <v>4.5138888888888888E-2</v>
      </c>
      <c r="C14" s="2">
        <v>0.98</v>
      </c>
      <c r="D14">
        <v>5</v>
      </c>
      <c r="E14">
        <v>3</v>
      </c>
      <c r="F14" s="2">
        <v>18.78</v>
      </c>
      <c r="G14" s="2">
        <v>0.77</v>
      </c>
      <c r="H14" s="2">
        <f t="shared" si="0"/>
        <v>1.5092000000000001</v>
      </c>
    </row>
    <row r="15" spans="1:8" x14ac:dyDescent="0.25">
      <c r="A15">
        <v>2</v>
      </c>
      <c r="B15" s="1">
        <v>6.5277777777777782E-2</v>
      </c>
      <c r="C15" s="2">
        <v>0.98</v>
      </c>
      <c r="D15">
        <v>5</v>
      </c>
      <c r="E15">
        <v>3</v>
      </c>
      <c r="F15" s="2">
        <v>18.61</v>
      </c>
      <c r="G15" s="2">
        <v>0.75</v>
      </c>
      <c r="H15" s="2">
        <f t="shared" si="0"/>
        <v>1.47</v>
      </c>
    </row>
    <row r="16" spans="1:8" x14ac:dyDescent="0.25">
      <c r="A16">
        <v>2</v>
      </c>
      <c r="B16" s="1">
        <v>8.6805555555555552E-2</v>
      </c>
      <c r="C16" s="2">
        <v>0.98</v>
      </c>
      <c r="D16">
        <v>5</v>
      </c>
      <c r="E16">
        <v>3</v>
      </c>
      <c r="F16" s="2">
        <v>18.52</v>
      </c>
      <c r="G16" s="2">
        <v>0.75</v>
      </c>
      <c r="H16" s="2">
        <f t="shared" si="0"/>
        <v>1.47</v>
      </c>
    </row>
    <row r="17" spans="1:8" x14ac:dyDescent="0.25">
      <c r="A17">
        <v>2</v>
      </c>
      <c r="B17" s="1">
        <v>0.10486111111111111</v>
      </c>
      <c r="C17" s="2">
        <v>0.98</v>
      </c>
      <c r="D17">
        <v>5</v>
      </c>
      <c r="E17">
        <v>3</v>
      </c>
      <c r="F17" s="2">
        <v>18.47</v>
      </c>
      <c r="G17" s="2">
        <v>0.74</v>
      </c>
      <c r="H17" s="2">
        <f t="shared" si="0"/>
        <v>1.4503999999999999</v>
      </c>
    </row>
    <row r="18" spans="1:8" x14ac:dyDescent="0.25">
      <c r="A18">
        <v>2</v>
      </c>
      <c r="B18" s="1">
        <v>0.12569444444444444</v>
      </c>
      <c r="C18" s="2">
        <v>0.98</v>
      </c>
      <c r="D18">
        <v>5</v>
      </c>
      <c r="E18">
        <v>3</v>
      </c>
      <c r="F18" s="2">
        <v>18.420000000000002</v>
      </c>
      <c r="G18" s="2">
        <v>0.74</v>
      </c>
      <c r="H18" s="2">
        <f t="shared" si="0"/>
        <v>1.4503999999999999</v>
      </c>
    </row>
    <row r="19" spans="1:8" x14ac:dyDescent="0.25">
      <c r="A19">
        <v>2</v>
      </c>
      <c r="B19" s="1">
        <v>0.15347222222222223</v>
      </c>
      <c r="C19" s="2">
        <v>0.98</v>
      </c>
      <c r="D19">
        <v>5</v>
      </c>
      <c r="E19">
        <v>3</v>
      </c>
      <c r="F19" s="2">
        <v>18.38</v>
      </c>
      <c r="G19" s="2">
        <v>0.74</v>
      </c>
      <c r="H19" s="2">
        <f t="shared" si="0"/>
        <v>1.4503999999999999</v>
      </c>
    </row>
    <row r="20" spans="1:8" x14ac:dyDescent="0.25">
      <c r="A20">
        <v>2</v>
      </c>
      <c r="B20" s="1">
        <v>0.16805555555555557</v>
      </c>
      <c r="C20" s="2">
        <v>0.98</v>
      </c>
      <c r="D20">
        <v>5</v>
      </c>
      <c r="E20">
        <v>3</v>
      </c>
      <c r="F20" s="2">
        <v>18.37</v>
      </c>
      <c r="G20" s="2">
        <v>0.74</v>
      </c>
      <c r="H20" s="2">
        <f t="shared" si="0"/>
        <v>1.4503999999999999</v>
      </c>
    </row>
    <row r="21" spans="1:8" x14ac:dyDescent="0.25">
      <c r="A21">
        <v>2</v>
      </c>
      <c r="B21" s="1">
        <v>0.19444444444444445</v>
      </c>
      <c r="C21" s="2">
        <v>0.98</v>
      </c>
      <c r="D21">
        <v>5</v>
      </c>
      <c r="E21">
        <v>3</v>
      </c>
      <c r="F21" s="2">
        <v>18.350000000000001</v>
      </c>
      <c r="G21" s="2">
        <v>0.75</v>
      </c>
      <c r="H21" s="2">
        <f t="shared" si="0"/>
        <v>1.47</v>
      </c>
    </row>
    <row r="22" spans="1:8" x14ac:dyDescent="0.25">
      <c r="A22">
        <v>2</v>
      </c>
      <c r="B22" s="1">
        <v>0.20902777777777778</v>
      </c>
      <c r="C22" s="2">
        <v>0.98</v>
      </c>
      <c r="D22">
        <v>5</v>
      </c>
      <c r="E22">
        <v>3</v>
      </c>
      <c r="F22" s="2">
        <v>18.350000000000001</v>
      </c>
      <c r="G22" s="2">
        <v>0.74</v>
      </c>
      <c r="H22" s="2">
        <f t="shared" si="0"/>
        <v>1.4503999999999999</v>
      </c>
    </row>
    <row r="23" spans="1:8" x14ac:dyDescent="0.25">
      <c r="A23">
        <v>2</v>
      </c>
      <c r="B23" s="1">
        <v>0.22777777777777777</v>
      </c>
      <c r="C23" s="2">
        <v>0.98</v>
      </c>
      <c r="D23">
        <v>5</v>
      </c>
      <c r="E23">
        <v>3</v>
      </c>
      <c r="F23" s="2">
        <v>18.36</v>
      </c>
      <c r="G23" s="2">
        <v>0.74</v>
      </c>
      <c r="H23" s="2">
        <f t="shared" si="0"/>
        <v>1.4503999999999999</v>
      </c>
    </row>
    <row r="24" spans="1:8" x14ac:dyDescent="0.25">
      <c r="A24">
        <v>3</v>
      </c>
      <c r="B24" s="1">
        <v>1.3888888888888889E-3</v>
      </c>
      <c r="C24" s="2">
        <v>0.98</v>
      </c>
      <c r="D24">
        <v>5</v>
      </c>
      <c r="E24">
        <v>3</v>
      </c>
      <c r="F24" s="2">
        <v>18.54</v>
      </c>
      <c r="G24" s="2">
        <v>0.75</v>
      </c>
      <c r="H24" s="2">
        <f t="shared" si="0"/>
        <v>1.47</v>
      </c>
    </row>
    <row r="25" spans="1:8" x14ac:dyDescent="0.25">
      <c r="A25">
        <v>3</v>
      </c>
      <c r="B25" s="1">
        <v>2.5694444444444443E-2</v>
      </c>
      <c r="C25" s="2">
        <v>0.98</v>
      </c>
      <c r="D25">
        <v>5</v>
      </c>
      <c r="E25">
        <v>3</v>
      </c>
      <c r="F25" s="2">
        <v>18.43</v>
      </c>
      <c r="G25" s="2">
        <v>0.69</v>
      </c>
      <c r="H25" s="2">
        <f t="shared" si="0"/>
        <v>1.3523999999999998</v>
      </c>
    </row>
    <row r="26" spans="1:8" x14ac:dyDescent="0.25">
      <c r="A26">
        <v>3</v>
      </c>
      <c r="B26" s="1">
        <v>4.2361111111111113E-2</v>
      </c>
      <c r="C26" s="2">
        <v>0.98</v>
      </c>
      <c r="D26">
        <v>5</v>
      </c>
      <c r="E26">
        <v>3</v>
      </c>
      <c r="F26" s="2">
        <v>18.39</v>
      </c>
      <c r="G26" s="2">
        <v>0.68</v>
      </c>
      <c r="H26" s="2">
        <f t="shared" si="0"/>
        <v>1.3328</v>
      </c>
    </row>
    <row r="27" spans="1:8" x14ac:dyDescent="0.25">
      <c r="A27">
        <v>3</v>
      </c>
      <c r="B27" s="1">
        <v>6.3888888888888884E-2</v>
      </c>
      <c r="C27" s="2">
        <v>0.98</v>
      </c>
      <c r="D27">
        <v>5</v>
      </c>
      <c r="E27">
        <v>3</v>
      </c>
      <c r="F27" s="2">
        <v>18.350000000000001</v>
      </c>
      <c r="G27" s="2">
        <v>0.67</v>
      </c>
      <c r="H27" s="2">
        <f t="shared" si="0"/>
        <v>1.3132000000000001</v>
      </c>
    </row>
    <row r="28" spans="1:8" x14ac:dyDescent="0.25">
      <c r="A28">
        <v>3</v>
      </c>
      <c r="B28" s="1">
        <v>8.3333333333333329E-2</v>
      </c>
      <c r="C28" s="2">
        <v>0.98</v>
      </c>
      <c r="D28">
        <v>5</v>
      </c>
      <c r="E28">
        <v>3</v>
      </c>
      <c r="F28" s="2">
        <v>18.329999999999998</v>
      </c>
      <c r="G28" s="2">
        <v>0.67</v>
      </c>
      <c r="H28" s="2">
        <f t="shared" si="0"/>
        <v>1.3132000000000001</v>
      </c>
    </row>
    <row r="29" spans="1:8" x14ac:dyDescent="0.25">
      <c r="A29">
        <v>3</v>
      </c>
      <c r="B29" s="1">
        <v>0.10555555555555556</v>
      </c>
      <c r="C29" s="2">
        <v>0.98</v>
      </c>
      <c r="D29">
        <v>5</v>
      </c>
      <c r="E29">
        <v>3</v>
      </c>
      <c r="F29" s="2">
        <v>18.32</v>
      </c>
      <c r="G29" s="2">
        <v>0.67</v>
      </c>
      <c r="H29" s="2">
        <f t="shared" si="0"/>
        <v>1.3132000000000001</v>
      </c>
    </row>
    <row r="30" spans="1:8" x14ac:dyDescent="0.25">
      <c r="A30">
        <v>3</v>
      </c>
      <c r="B30" s="1">
        <v>0.12847222222222221</v>
      </c>
      <c r="C30" s="2">
        <v>0.98</v>
      </c>
      <c r="D30">
        <v>5</v>
      </c>
      <c r="E30">
        <v>3</v>
      </c>
      <c r="F30" s="2">
        <v>18.309999999999999</v>
      </c>
      <c r="G30" s="2">
        <v>0.67</v>
      </c>
      <c r="H30" s="2">
        <f t="shared" si="0"/>
        <v>1.3132000000000001</v>
      </c>
    </row>
    <row r="31" spans="1:8" x14ac:dyDescent="0.25">
      <c r="A31">
        <v>3</v>
      </c>
      <c r="B31" s="1">
        <v>0.14652777777777778</v>
      </c>
      <c r="C31" s="2">
        <v>0.98</v>
      </c>
      <c r="D31">
        <v>5</v>
      </c>
      <c r="E31">
        <v>3</v>
      </c>
      <c r="F31" s="2">
        <v>18.3</v>
      </c>
      <c r="G31" s="2">
        <v>0.67</v>
      </c>
      <c r="H31" s="2">
        <f t="shared" si="0"/>
        <v>1.3132000000000001</v>
      </c>
    </row>
    <row r="32" spans="1:8" x14ac:dyDescent="0.25">
      <c r="A32">
        <v>3</v>
      </c>
      <c r="B32" s="1">
        <v>0.16666666666666666</v>
      </c>
      <c r="C32" s="2">
        <v>0.98</v>
      </c>
      <c r="D32">
        <v>5</v>
      </c>
      <c r="E32">
        <v>3</v>
      </c>
      <c r="F32" s="2">
        <v>18.3</v>
      </c>
      <c r="G32" s="2">
        <v>0.67</v>
      </c>
      <c r="H32" s="2">
        <f t="shared" si="0"/>
        <v>1.3132000000000001</v>
      </c>
    </row>
    <row r="33" spans="1:8" x14ac:dyDescent="0.25">
      <c r="A33">
        <v>3</v>
      </c>
      <c r="B33" s="1">
        <v>0.1875</v>
      </c>
      <c r="C33" s="2">
        <v>0.98</v>
      </c>
      <c r="D33">
        <v>5</v>
      </c>
      <c r="E33">
        <v>3</v>
      </c>
      <c r="F33" s="2">
        <v>18.29</v>
      </c>
      <c r="G33" s="2">
        <v>0.67</v>
      </c>
      <c r="H33" s="2">
        <f t="shared" si="0"/>
        <v>1.3132000000000001</v>
      </c>
    </row>
    <row r="34" spans="1:8" x14ac:dyDescent="0.25">
      <c r="A34">
        <v>3</v>
      </c>
      <c r="B34" s="1">
        <v>0.20902777777777778</v>
      </c>
      <c r="C34" s="2">
        <v>0.98</v>
      </c>
      <c r="D34">
        <v>5</v>
      </c>
      <c r="E34">
        <v>3</v>
      </c>
      <c r="F34" s="2">
        <v>18.29</v>
      </c>
      <c r="G34" s="2">
        <v>0.67</v>
      </c>
      <c r="H34" s="2">
        <f t="shared" si="0"/>
        <v>1.3132000000000001</v>
      </c>
    </row>
    <row r="35" spans="1:8" x14ac:dyDescent="0.25">
      <c r="A35">
        <v>3</v>
      </c>
      <c r="B35" s="1">
        <v>0.22083333333333333</v>
      </c>
      <c r="C35" s="2">
        <v>0.98</v>
      </c>
      <c r="D35">
        <v>5</v>
      </c>
      <c r="E35">
        <v>3</v>
      </c>
      <c r="F35" s="2">
        <v>18.29</v>
      </c>
      <c r="G35" s="2">
        <v>0.67</v>
      </c>
      <c r="H35" s="2">
        <f t="shared" si="0"/>
        <v>1.3132000000000001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9449-B3A9-4D1A-BE4C-A898268A39C6}">
  <dimension ref="A1:H35"/>
  <sheetViews>
    <sheetView workbookViewId="0">
      <selection activeCell="C1" sqref="C1:C1048576"/>
    </sheetView>
  </sheetViews>
  <sheetFormatPr defaultRowHeight="15" x14ac:dyDescent="0.25"/>
  <cols>
    <col min="4" max="4" width="18.5703125" bestFit="1" customWidth="1"/>
    <col min="5" max="5" width="15.5703125" bestFit="1" customWidth="1"/>
    <col min="6" max="6" width="21.42578125" style="2" bestFit="1" customWidth="1"/>
    <col min="7" max="7" width="12.28515625" style="2" bestFit="1" customWidth="1"/>
    <col min="8" max="8" width="8.7109375" style="2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1.3888888888888889E-3</v>
      </c>
      <c r="C2" s="2">
        <v>0.53</v>
      </c>
      <c r="D2">
        <v>5</v>
      </c>
      <c r="E2">
        <v>4.5</v>
      </c>
      <c r="F2" s="2">
        <v>22.45</v>
      </c>
      <c r="G2" s="2">
        <v>0.62</v>
      </c>
      <c r="H2" s="2">
        <f>G2*1.96</f>
        <v>1.2152000000000001</v>
      </c>
    </row>
    <row r="3" spans="1:8" x14ac:dyDescent="0.25">
      <c r="A3">
        <v>1</v>
      </c>
      <c r="B3" s="1">
        <v>2.1527777777777778E-2</v>
      </c>
      <c r="C3" s="2">
        <v>0.53</v>
      </c>
      <c r="D3">
        <v>5</v>
      </c>
      <c r="E3">
        <v>4.5</v>
      </c>
      <c r="F3" s="2">
        <v>23.59</v>
      </c>
      <c r="G3" s="2">
        <v>0.52</v>
      </c>
      <c r="H3" s="2">
        <f t="shared" ref="H3:H25" si="0">G3*1.96</f>
        <v>1.0192000000000001</v>
      </c>
    </row>
    <row r="4" spans="1:8" x14ac:dyDescent="0.25">
      <c r="A4">
        <v>1</v>
      </c>
      <c r="B4" s="1">
        <v>4.3055555555555555E-2</v>
      </c>
      <c r="C4" s="2">
        <v>0.53</v>
      </c>
      <c r="D4">
        <v>5</v>
      </c>
      <c r="E4">
        <v>4.5</v>
      </c>
      <c r="F4" s="2">
        <v>24.13</v>
      </c>
      <c r="G4" s="2">
        <v>0.5</v>
      </c>
      <c r="H4" s="2">
        <f t="shared" si="0"/>
        <v>0.98</v>
      </c>
    </row>
    <row r="5" spans="1:8" x14ac:dyDescent="0.25">
      <c r="A5">
        <v>1</v>
      </c>
      <c r="B5" s="1">
        <v>6.3194444444444442E-2</v>
      </c>
      <c r="C5" s="2">
        <v>0.53</v>
      </c>
      <c r="D5">
        <v>5</v>
      </c>
      <c r="E5">
        <v>4.5</v>
      </c>
      <c r="F5" s="2">
        <v>24.32</v>
      </c>
      <c r="G5" s="2">
        <v>0.5</v>
      </c>
      <c r="H5" s="2">
        <f t="shared" si="0"/>
        <v>0.98</v>
      </c>
    </row>
    <row r="6" spans="1:8" x14ac:dyDescent="0.25">
      <c r="A6">
        <v>1</v>
      </c>
      <c r="B6" s="1">
        <v>8.3333333333333329E-2</v>
      </c>
      <c r="C6" s="2">
        <v>0.53</v>
      </c>
      <c r="D6">
        <v>5</v>
      </c>
      <c r="E6">
        <v>4.5</v>
      </c>
      <c r="F6" s="2">
        <v>24.44</v>
      </c>
      <c r="G6" s="2">
        <v>0.54</v>
      </c>
      <c r="H6" s="2">
        <f t="shared" si="0"/>
        <v>1.0584</v>
      </c>
    </row>
    <row r="7" spans="1:8" x14ac:dyDescent="0.25">
      <c r="A7">
        <v>1</v>
      </c>
      <c r="B7" s="1">
        <v>0.10902777777777778</v>
      </c>
      <c r="C7" s="2">
        <v>0.53</v>
      </c>
      <c r="D7">
        <v>5</v>
      </c>
      <c r="E7">
        <v>4.5</v>
      </c>
      <c r="F7" s="2">
        <v>24.53</v>
      </c>
      <c r="G7" s="2">
        <v>0.52</v>
      </c>
      <c r="H7" s="2">
        <f t="shared" si="0"/>
        <v>1.0192000000000001</v>
      </c>
    </row>
    <row r="8" spans="1:8" x14ac:dyDescent="0.25">
      <c r="A8">
        <v>1</v>
      </c>
      <c r="B8" s="1">
        <v>0.12569444444444444</v>
      </c>
      <c r="C8" s="2">
        <v>0.53</v>
      </c>
      <c r="D8">
        <v>5</v>
      </c>
      <c r="E8">
        <v>4.5</v>
      </c>
      <c r="F8" s="2">
        <v>24.55</v>
      </c>
      <c r="G8" s="2">
        <v>0.52</v>
      </c>
      <c r="H8" s="2">
        <f t="shared" si="0"/>
        <v>1.0192000000000001</v>
      </c>
    </row>
    <row r="9" spans="1:8" x14ac:dyDescent="0.25">
      <c r="A9">
        <v>2</v>
      </c>
      <c r="B9" s="1">
        <v>1.3888888888888889E-3</v>
      </c>
      <c r="C9" s="2">
        <v>0.53</v>
      </c>
      <c r="D9">
        <v>5</v>
      </c>
      <c r="E9">
        <v>4.5</v>
      </c>
      <c r="F9" s="2">
        <v>24.45</v>
      </c>
      <c r="G9" s="2">
        <v>0.53</v>
      </c>
      <c r="H9" s="2">
        <f t="shared" si="0"/>
        <v>1.0387999999999999</v>
      </c>
    </row>
    <row r="10" spans="1:8" x14ac:dyDescent="0.25">
      <c r="A10">
        <v>2</v>
      </c>
      <c r="B10" s="1">
        <v>2.1527777777777778E-2</v>
      </c>
      <c r="C10" s="2">
        <v>0.53</v>
      </c>
      <c r="D10">
        <v>5</v>
      </c>
      <c r="E10">
        <v>4.5</v>
      </c>
      <c r="F10" s="2">
        <v>23.56</v>
      </c>
      <c r="G10" s="2">
        <v>0.68</v>
      </c>
      <c r="H10" s="2">
        <f t="shared" si="0"/>
        <v>1.3328</v>
      </c>
    </row>
    <row r="11" spans="1:8" x14ac:dyDescent="0.25">
      <c r="A11">
        <v>2</v>
      </c>
      <c r="B11" s="1">
        <v>4.0972222222222222E-2</v>
      </c>
      <c r="C11" s="2">
        <v>0.53</v>
      </c>
      <c r="D11">
        <v>5</v>
      </c>
      <c r="E11">
        <v>4.5</v>
      </c>
      <c r="F11" s="2">
        <v>23.17</v>
      </c>
      <c r="G11" s="2">
        <v>0.64</v>
      </c>
      <c r="H11" s="2">
        <f t="shared" si="0"/>
        <v>1.2544</v>
      </c>
    </row>
    <row r="12" spans="1:8" x14ac:dyDescent="0.25">
      <c r="A12">
        <v>2</v>
      </c>
      <c r="B12" s="1">
        <v>6.3194444444444442E-2</v>
      </c>
      <c r="C12" s="2">
        <v>0.53</v>
      </c>
      <c r="D12">
        <v>5</v>
      </c>
      <c r="E12">
        <v>4.5</v>
      </c>
      <c r="F12" s="2">
        <v>23.02</v>
      </c>
      <c r="G12" s="2">
        <v>0.62</v>
      </c>
      <c r="H12" s="2">
        <f t="shared" si="0"/>
        <v>1.2152000000000001</v>
      </c>
    </row>
    <row r="13" spans="1:8" x14ac:dyDescent="0.25">
      <c r="A13">
        <v>2</v>
      </c>
      <c r="B13" s="1">
        <v>7.7083333333333337E-2</v>
      </c>
      <c r="C13" s="2">
        <v>0.53</v>
      </c>
      <c r="D13">
        <v>5</v>
      </c>
      <c r="E13">
        <v>4.5</v>
      </c>
      <c r="F13" s="2">
        <v>22.97</v>
      </c>
      <c r="G13" s="2">
        <v>0.63</v>
      </c>
      <c r="H13" s="2">
        <f t="shared" si="0"/>
        <v>1.2347999999999999</v>
      </c>
    </row>
    <row r="14" spans="1:8" x14ac:dyDescent="0.25">
      <c r="A14">
        <v>2</v>
      </c>
      <c r="B14" s="1">
        <v>9.375E-2</v>
      </c>
      <c r="C14" s="2">
        <v>0.53</v>
      </c>
      <c r="D14">
        <v>5</v>
      </c>
      <c r="E14">
        <v>4.5</v>
      </c>
      <c r="F14" s="2">
        <v>22.93</v>
      </c>
      <c r="G14" s="2">
        <v>0.64</v>
      </c>
      <c r="H14" s="2">
        <f t="shared" si="0"/>
        <v>1.2544</v>
      </c>
    </row>
    <row r="15" spans="1:8" x14ac:dyDescent="0.25">
      <c r="A15">
        <v>2</v>
      </c>
      <c r="B15" s="1">
        <v>0.10902777777777778</v>
      </c>
      <c r="C15" s="2">
        <v>0.53</v>
      </c>
      <c r="D15">
        <v>5</v>
      </c>
      <c r="E15">
        <v>4.5</v>
      </c>
      <c r="F15" s="2">
        <v>22.91</v>
      </c>
      <c r="G15" s="2">
        <v>0.64</v>
      </c>
      <c r="H15" s="2">
        <f t="shared" si="0"/>
        <v>1.2544</v>
      </c>
    </row>
    <row r="16" spans="1:8" x14ac:dyDescent="0.25">
      <c r="A16">
        <v>2</v>
      </c>
      <c r="B16" s="1">
        <v>0.12777777777777777</v>
      </c>
      <c r="C16" s="2">
        <v>0.53</v>
      </c>
      <c r="D16">
        <v>5</v>
      </c>
      <c r="E16">
        <v>4.5</v>
      </c>
      <c r="F16" s="2">
        <v>22.89</v>
      </c>
      <c r="G16" s="2">
        <v>0.63</v>
      </c>
      <c r="H16" s="2">
        <f t="shared" si="0"/>
        <v>1.2347999999999999</v>
      </c>
    </row>
    <row r="17" spans="1:8" x14ac:dyDescent="0.25">
      <c r="A17">
        <v>3</v>
      </c>
      <c r="B17" s="1">
        <v>1.3888888888888889E-3</v>
      </c>
      <c r="C17" s="2">
        <v>0.53</v>
      </c>
      <c r="D17">
        <v>5</v>
      </c>
      <c r="E17">
        <v>4.5</v>
      </c>
      <c r="F17" s="2">
        <v>23.44</v>
      </c>
      <c r="G17" s="2">
        <v>0.7</v>
      </c>
      <c r="H17" s="2">
        <f t="shared" si="0"/>
        <v>1.3719999999999999</v>
      </c>
    </row>
    <row r="18" spans="1:8" x14ac:dyDescent="0.25">
      <c r="A18">
        <v>3</v>
      </c>
      <c r="B18" s="1">
        <v>2.013888888888889E-2</v>
      </c>
      <c r="C18" s="2">
        <v>0.53</v>
      </c>
      <c r="D18">
        <v>5</v>
      </c>
      <c r="E18">
        <v>4.5</v>
      </c>
      <c r="F18" s="2">
        <v>24.35</v>
      </c>
      <c r="G18" s="2">
        <v>0.55000000000000004</v>
      </c>
      <c r="H18" s="2">
        <f t="shared" si="0"/>
        <v>1.0780000000000001</v>
      </c>
    </row>
    <row r="19" spans="1:8" x14ac:dyDescent="0.25">
      <c r="A19">
        <v>3</v>
      </c>
      <c r="B19" s="1">
        <v>4.2361111111111113E-2</v>
      </c>
      <c r="C19" s="2">
        <v>0.53</v>
      </c>
      <c r="D19">
        <v>5</v>
      </c>
      <c r="E19">
        <v>4.5</v>
      </c>
      <c r="F19" s="2">
        <v>24.69</v>
      </c>
      <c r="G19" s="2">
        <v>0.49</v>
      </c>
      <c r="H19" s="2">
        <f t="shared" si="0"/>
        <v>0.96039999999999992</v>
      </c>
    </row>
    <row r="20" spans="1:8" x14ac:dyDescent="0.25">
      <c r="A20">
        <v>3</v>
      </c>
      <c r="B20" s="1">
        <v>5.0694444444444445E-2</v>
      </c>
      <c r="C20" s="2">
        <v>0.53</v>
      </c>
      <c r="D20">
        <v>5</v>
      </c>
      <c r="E20">
        <v>4.5</v>
      </c>
      <c r="F20" s="2">
        <v>24.77</v>
      </c>
      <c r="G20" s="2">
        <v>0.5</v>
      </c>
      <c r="H20" s="2">
        <f t="shared" si="0"/>
        <v>0.98</v>
      </c>
    </row>
    <row r="21" spans="1:8" x14ac:dyDescent="0.25">
      <c r="A21">
        <v>3</v>
      </c>
      <c r="B21" s="1">
        <v>6.3888888888888884E-2</v>
      </c>
      <c r="C21" s="2">
        <v>0.53</v>
      </c>
      <c r="D21">
        <v>5</v>
      </c>
      <c r="E21">
        <v>4.5</v>
      </c>
      <c r="F21" s="2">
        <v>24.82</v>
      </c>
      <c r="G21" s="2">
        <v>0.5</v>
      </c>
      <c r="H21" s="2">
        <f t="shared" si="0"/>
        <v>0.98</v>
      </c>
    </row>
    <row r="22" spans="1:8" x14ac:dyDescent="0.25">
      <c r="A22">
        <v>3</v>
      </c>
      <c r="B22" s="1">
        <v>8.1250000000000003E-2</v>
      </c>
      <c r="C22" s="2">
        <v>0.53</v>
      </c>
      <c r="D22">
        <v>5</v>
      </c>
      <c r="E22">
        <v>4.5</v>
      </c>
      <c r="F22" s="2">
        <v>24.88</v>
      </c>
      <c r="G22" s="2">
        <v>0.52</v>
      </c>
      <c r="H22" s="2">
        <f t="shared" si="0"/>
        <v>1.0192000000000001</v>
      </c>
    </row>
    <row r="23" spans="1:8" x14ac:dyDescent="0.25">
      <c r="A23">
        <v>3</v>
      </c>
      <c r="B23" s="1">
        <v>0.10416666666666667</v>
      </c>
      <c r="C23" s="2">
        <v>0.53</v>
      </c>
      <c r="D23">
        <v>5</v>
      </c>
      <c r="E23">
        <v>4.5</v>
      </c>
      <c r="F23" s="2">
        <v>24.92</v>
      </c>
      <c r="G23" s="2">
        <v>0.52</v>
      </c>
      <c r="H23" s="2">
        <f t="shared" si="0"/>
        <v>1.0192000000000001</v>
      </c>
    </row>
    <row r="24" spans="1:8" x14ac:dyDescent="0.25">
      <c r="A24">
        <v>3</v>
      </c>
      <c r="B24" s="1">
        <v>0.12222222222222222</v>
      </c>
      <c r="C24" s="2">
        <v>0.53</v>
      </c>
      <c r="D24">
        <v>5</v>
      </c>
      <c r="E24">
        <v>4.5</v>
      </c>
      <c r="F24" s="2">
        <v>24.94</v>
      </c>
      <c r="G24" s="2">
        <v>0.51</v>
      </c>
      <c r="H24" s="2">
        <f t="shared" si="0"/>
        <v>0.99960000000000004</v>
      </c>
    </row>
    <row r="25" spans="1:8" x14ac:dyDescent="0.25">
      <c r="A25">
        <v>3</v>
      </c>
      <c r="B25" s="1">
        <v>0.15</v>
      </c>
      <c r="C25" s="2">
        <v>0.53</v>
      </c>
      <c r="D25">
        <v>5</v>
      </c>
      <c r="E25">
        <v>4.5</v>
      </c>
      <c r="F25" s="2">
        <v>24.97</v>
      </c>
      <c r="G25" s="2">
        <v>0.51</v>
      </c>
      <c r="H25" s="2">
        <f t="shared" si="0"/>
        <v>0.99960000000000004</v>
      </c>
    </row>
    <row r="26" spans="1:8" x14ac:dyDescent="0.25">
      <c r="B26" s="1"/>
    </row>
    <row r="27" spans="1:8" x14ac:dyDescent="0.25">
      <c r="B27" s="1"/>
    </row>
    <row r="28" spans="1:8" x14ac:dyDescent="0.25">
      <c r="B28" s="1"/>
    </row>
    <row r="29" spans="1:8" x14ac:dyDescent="0.25">
      <c r="B29" s="1"/>
    </row>
    <row r="30" spans="1:8" x14ac:dyDescent="0.25">
      <c r="B30" s="1"/>
    </row>
    <row r="31" spans="1:8" x14ac:dyDescent="0.25">
      <c r="B31" s="1"/>
    </row>
    <row r="32" spans="1:8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7FDE-1EBD-42BB-A0AE-703F53FBF53D}">
  <dimension ref="A1:H25"/>
  <sheetViews>
    <sheetView workbookViewId="0">
      <selection activeCell="C1" sqref="C1:C1048576"/>
    </sheetView>
  </sheetViews>
  <sheetFormatPr defaultRowHeight="15" x14ac:dyDescent="0.25"/>
  <cols>
    <col min="4" max="4" width="17.140625" bestFit="1" customWidth="1"/>
    <col min="5" max="5" width="14.140625" bestFit="1" customWidth="1"/>
    <col min="6" max="6" width="19.42578125" bestFit="1" customWidth="1"/>
    <col min="7" max="7" width="11.28515625" bestFit="1" customWidth="1"/>
    <col min="8" max="8" width="8.5703125" bestFit="1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2.0833333333333333E-3</v>
      </c>
      <c r="C2" s="2">
        <v>0.68</v>
      </c>
      <c r="D2">
        <v>5</v>
      </c>
      <c r="E2">
        <v>4.5</v>
      </c>
      <c r="F2" s="2">
        <v>19.239999999999998</v>
      </c>
      <c r="G2" s="2">
        <v>0.75</v>
      </c>
      <c r="H2" s="2">
        <f>G2*1.96</f>
        <v>1.47</v>
      </c>
    </row>
    <row r="3" spans="1:8" x14ac:dyDescent="0.25">
      <c r="A3">
        <v>1</v>
      </c>
      <c r="B3" s="1">
        <v>2.1527777777777778E-2</v>
      </c>
      <c r="C3" s="2">
        <v>0.68</v>
      </c>
      <c r="D3">
        <v>5</v>
      </c>
      <c r="E3">
        <v>4.5</v>
      </c>
      <c r="F3" s="2">
        <v>18.850000000000001</v>
      </c>
      <c r="G3" s="2">
        <v>0.69</v>
      </c>
      <c r="H3" s="2">
        <f t="shared" ref="H3:H25" si="0">G3*1.96</f>
        <v>1.3523999999999998</v>
      </c>
    </row>
    <row r="4" spans="1:8" x14ac:dyDescent="0.25">
      <c r="A4">
        <v>1</v>
      </c>
      <c r="B4" s="1">
        <v>4.0972222222222222E-2</v>
      </c>
      <c r="C4" s="2">
        <v>0.68</v>
      </c>
      <c r="D4">
        <v>5</v>
      </c>
      <c r="E4">
        <v>4.5</v>
      </c>
      <c r="F4" s="2">
        <v>18.7</v>
      </c>
      <c r="G4" s="2">
        <v>0.65</v>
      </c>
      <c r="H4" s="2">
        <f t="shared" si="0"/>
        <v>1.274</v>
      </c>
    </row>
    <row r="5" spans="1:8" x14ac:dyDescent="0.25">
      <c r="A5">
        <v>1</v>
      </c>
      <c r="B5" s="1">
        <v>6.3888888888888884E-2</v>
      </c>
      <c r="C5" s="2">
        <v>0.68</v>
      </c>
      <c r="D5">
        <v>5</v>
      </c>
      <c r="E5">
        <v>4.5</v>
      </c>
      <c r="F5" s="2">
        <v>18.63</v>
      </c>
      <c r="G5" s="2">
        <v>0.63</v>
      </c>
      <c r="H5" s="2">
        <f t="shared" si="0"/>
        <v>1.2347999999999999</v>
      </c>
    </row>
    <row r="6" spans="1:8" x14ac:dyDescent="0.25">
      <c r="A6">
        <v>1</v>
      </c>
      <c r="B6" s="1">
        <v>8.4722222222222227E-2</v>
      </c>
      <c r="C6" s="2">
        <v>0.68</v>
      </c>
      <c r="D6">
        <v>5</v>
      </c>
      <c r="E6">
        <v>4.5</v>
      </c>
      <c r="F6" s="2">
        <v>18.600000000000001</v>
      </c>
      <c r="G6" s="2">
        <v>0.64</v>
      </c>
      <c r="H6" s="2">
        <f t="shared" si="0"/>
        <v>1.2544</v>
      </c>
    </row>
    <row r="7" spans="1:8" x14ac:dyDescent="0.25">
      <c r="A7">
        <v>1</v>
      </c>
      <c r="B7" s="1">
        <v>0.10416666666666667</v>
      </c>
      <c r="C7" s="2">
        <v>0.68</v>
      </c>
      <c r="D7">
        <v>5</v>
      </c>
      <c r="E7">
        <v>4.5</v>
      </c>
      <c r="F7" s="2">
        <v>18.61</v>
      </c>
      <c r="G7" s="2">
        <v>0.64</v>
      </c>
      <c r="H7" s="2">
        <f t="shared" si="0"/>
        <v>1.2544</v>
      </c>
    </row>
    <row r="8" spans="1:8" x14ac:dyDescent="0.25">
      <c r="A8">
        <v>1</v>
      </c>
      <c r="B8" s="1">
        <v>0.12361111111111112</v>
      </c>
      <c r="C8" s="2">
        <v>0.68</v>
      </c>
      <c r="D8">
        <v>5</v>
      </c>
      <c r="E8">
        <v>4.5</v>
      </c>
      <c r="F8" s="2">
        <v>18.63</v>
      </c>
      <c r="G8" s="2">
        <v>0.65</v>
      </c>
      <c r="H8" s="2">
        <f t="shared" si="0"/>
        <v>1.274</v>
      </c>
    </row>
    <row r="9" spans="1:8" x14ac:dyDescent="0.25">
      <c r="A9">
        <v>1</v>
      </c>
      <c r="B9" s="1">
        <v>0.16180555555555556</v>
      </c>
      <c r="C9" s="2">
        <v>0.68</v>
      </c>
      <c r="D9">
        <v>5</v>
      </c>
      <c r="E9">
        <v>4.5</v>
      </c>
      <c r="F9" s="2">
        <v>18.670000000000002</v>
      </c>
      <c r="G9" s="2">
        <v>0.65</v>
      </c>
      <c r="H9" s="2">
        <f t="shared" si="0"/>
        <v>1.274</v>
      </c>
    </row>
    <row r="10" spans="1:8" x14ac:dyDescent="0.25">
      <c r="A10">
        <v>2</v>
      </c>
      <c r="B10" s="1">
        <v>3.472222222222222E-3</v>
      </c>
      <c r="C10" s="2">
        <v>0.68</v>
      </c>
      <c r="D10">
        <v>5</v>
      </c>
      <c r="E10">
        <v>4.5</v>
      </c>
      <c r="F10" s="2">
        <v>18.989999999999998</v>
      </c>
      <c r="G10" s="2">
        <v>0.72</v>
      </c>
      <c r="H10" s="2">
        <f t="shared" si="0"/>
        <v>1.4112</v>
      </c>
    </row>
    <row r="11" spans="1:8" x14ac:dyDescent="0.25">
      <c r="A11">
        <v>2</v>
      </c>
      <c r="B11" s="1">
        <v>2.361111111111111E-2</v>
      </c>
      <c r="C11" s="2">
        <v>0.68</v>
      </c>
      <c r="D11">
        <v>5</v>
      </c>
      <c r="E11">
        <v>4.5</v>
      </c>
      <c r="F11" s="2">
        <v>18.920000000000002</v>
      </c>
      <c r="G11" s="2">
        <v>0.78</v>
      </c>
      <c r="H11" s="2">
        <f t="shared" si="0"/>
        <v>1.5287999999999999</v>
      </c>
    </row>
    <row r="12" spans="1:8" x14ac:dyDescent="0.25">
      <c r="A12">
        <v>2</v>
      </c>
      <c r="B12" s="1">
        <v>4.3055555555555555E-2</v>
      </c>
      <c r="C12" s="2">
        <v>0.68</v>
      </c>
      <c r="D12">
        <v>5</v>
      </c>
      <c r="E12">
        <v>4.5</v>
      </c>
      <c r="F12" s="2">
        <v>18.87</v>
      </c>
      <c r="G12" s="2">
        <v>0.74</v>
      </c>
      <c r="H12" s="2">
        <f t="shared" si="0"/>
        <v>1.4503999999999999</v>
      </c>
    </row>
    <row r="13" spans="1:8" x14ac:dyDescent="0.25">
      <c r="A13">
        <v>2</v>
      </c>
      <c r="B13" s="1">
        <v>6.5972222222222224E-2</v>
      </c>
      <c r="C13" s="2">
        <v>0.68</v>
      </c>
      <c r="D13">
        <v>5</v>
      </c>
      <c r="E13">
        <v>4.5</v>
      </c>
      <c r="F13" s="2">
        <v>18.850000000000001</v>
      </c>
      <c r="G13" s="2">
        <v>0.74</v>
      </c>
      <c r="H13" s="2">
        <f t="shared" si="0"/>
        <v>1.4503999999999999</v>
      </c>
    </row>
    <row r="14" spans="1:8" x14ac:dyDescent="0.25">
      <c r="A14">
        <v>2</v>
      </c>
      <c r="B14" s="1">
        <v>8.3333333333333329E-2</v>
      </c>
      <c r="C14" s="2">
        <v>0.68</v>
      </c>
      <c r="D14">
        <v>5</v>
      </c>
      <c r="E14">
        <v>4.5</v>
      </c>
      <c r="F14" s="2">
        <v>18.84</v>
      </c>
      <c r="G14" s="2">
        <v>0.74</v>
      </c>
      <c r="H14" s="2">
        <f t="shared" si="0"/>
        <v>1.4503999999999999</v>
      </c>
    </row>
    <row r="15" spans="1:8" x14ac:dyDescent="0.25">
      <c r="A15">
        <v>2</v>
      </c>
      <c r="B15" s="1">
        <v>0.1076388888888889</v>
      </c>
      <c r="C15" s="2">
        <v>0.68</v>
      </c>
      <c r="D15">
        <v>5</v>
      </c>
      <c r="E15">
        <v>4.5</v>
      </c>
      <c r="F15" s="2">
        <v>18.829999999999998</v>
      </c>
      <c r="G15" s="2">
        <v>0.74</v>
      </c>
      <c r="H15" s="2">
        <f t="shared" si="0"/>
        <v>1.4503999999999999</v>
      </c>
    </row>
    <row r="16" spans="1:8" x14ac:dyDescent="0.25">
      <c r="A16">
        <v>2</v>
      </c>
      <c r="B16" s="1">
        <v>0.12638888888888888</v>
      </c>
      <c r="C16" s="2">
        <v>0.68</v>
      </c>
      <c r="D16">
        <v>5</v>
      </c>
      <c r="E16">
        <v>4.5</v>
      </c>
      <c r="F16" s="2">
        <v>18.829999999999998</v>
      </c>
      <c r="G16" s="2">
        <v>0.74</v>
      </c>
      <c r="H16" s="2">
        <f t="shared" si="0"/>
        <v>1.4503999999999999</v>
      </c>
    </row>
    <row r="17" spans="1:8" x14ac:dyDescent="0.25">
      <c r="A17">
        <v>2</v>
      </c>
      <c r="B17" s="1">
        <v>0.14305555555555555</v>
      </c>
      <c r="C17" s="2">
        <v>0.68</v>
      </c>
      <c r="D17">
        <v>5</v>
      </c>
      <c r="E17">
        <v>4.5</v>
      </c>
      <c r="F17" s="2">
        <v>18.84</v>
      </c>
      <c r="G17" s="2">
        <v>0.74</v>
      </c>
      <c r="H17" s="2">
        <f t="shared" si="0"/>
        <v>1.4503999999999999</v>
      </c>
    </row>
    <row r="18" spans="1:8" x14ac:dyDescent="0.25">
      <c r="A18">
        <v>3</v>
      </c>
      <c r="B18" s="1">
        <v>4.8611111111111112E-3</v>
      </c>
      <c r="C18" s="2">
        <v>0.68</v>
      </c>
      <c r="D18">
        <v>5</v>
      </c>
      <c r="E18">
        <v>4.5</v>
      </c>
      <c r="F18" s="2">
        <v>18.89</v>
      </c>
      <c r="G18" s="2">
        <v>0.78</v>
      </c>
      <c r="H18" s="2">
        <f t="shared" si="0"/>
        <v>1.5287999999999999</v>
      </c>
    </row>
    <row r="19" spans="1:8" x14ac:dyDescent="0.25">
      <c r="A19">
        <v>3</v>
      </c>
      <c r="B19" s="1">
        <v>2.2222222222222223E-2</v>
      </c>
      <c r="C19" s="2">
        <v>0.68</v>
      </c>
      <c r="D19">
        <v>5</v>
      </c>
      <c r="E19">
        <v>4.5</v>
      </c>
      <c r="F19" s="2">
        <v>18.55</v>
      </c>
      <c r="G19" s="2">
        <v>0.66</v>
      </c>
      <c r="H19" s="2">
        <f t="shared" si="0"/>
        <v>1.2936000000000001</v>
      </c>
    </row>
    <row r="20" spans="1:8" x14ac:dyDescent="0.25">
      <c r="A20">
        <v>3</v>
      </c>
      <c r="B20" s="1">
        <v>4.4444444444444446E-2</v>
      </c>
      <c r="C20" s="2">
        <v>0.68</v>
      </c>
      <c r="D20">
        <v>5</v>
      </c>
      <c r="E20">
        <v>4.5</v>
      </c>
      <c r="F20" s="2">
        <v>18.39</v>
      </c>
      <c r="G20" s="2">
        <v>0.64</v>
      </c>
      <c r="H20" s="2">
        <f t="shared" si="0"/>
        <v>1.2544</v>
      </c>
    </row>
    <row r="21" spans="1:8" x14ac:dyDescent="0.25">
      <c r="A21">
        <v>3</v>
      </c>
      <c r="B21" s="1">
        <v>6.3888888888888884E-2</v>
      </c>
      <c r="C21" s="2">
        <v>0.68</v>
      </c>
      <c r="D21">
        <v>5</v>
      </c>
      <c r="E21">
        <v>4.5</v>
      </c>
      <c r="F21" s="2">
        <v>18.34</v>
      </c>
      <c r="G21" s="2">
        <v>0.64</v>
      </c>
      <c r="H21" s="2">
        <f t="shared" si="0"/>
        <v>1.2544</v>
      </c>
    </row>
    <row r="22" spans="1:8" x14ac:dyDescent="0.25">
      <c r="A22">
        <v>3</v>
      </c>
      <c r="B22" s="1">
        <v>8.4027777777777785E-2</v>
      </c>
      <c r="C22" s="2">
        <v>0.68</v>
      </c>
      <c r="D22">
        <v>5</v>
      </c>
      <c r="E22">
        <v>4.5</v>
      </c>
      <c r="F22" s="2">
        <v>18.309999999999999</v>
      </c>
      <c r="G22" s="2">
        <v>0.64</v>
      </c>
      <c r="H22" s="2">
        <f t="shared" si="0"/>
        <v>1.2544</v>
      </c>
    </row>
    <row r="23" spans="1:8" x14ac:dyDescent="0.25">
      <c r="A23">
        <v>3</v>
      </c>
      <c r="B23" s="1">
        <v>0.10347222222222222</v>
      </c>
      <c r="C23" s="2">
        <v>0.68</v>
      </c>
      <c r="D23">
        <v>5</v>
      </c>
      <c r="E23">
        <v>4.5</v>
      </c>
      <c r="F23" s="2">
        <v>18.3</v>
      </c>
      <c r="G23" s="2">
        <v>0.64</v>
      </c>
      <c r="H23" s="2">
        <f t="shared" si="0"/>
        <v>1.2544</v>
      </c>
    </row>
    <row r="24" spans="1:8" x14ac:dyDescent="0.25">
      <c r="A24">
        <v>3</v>
      </c>
      <c r="B24" s="1">
        <v>0.12638888888888888</v>
      </c>
      <c r="C24" s="2">
        <v>0.68</v>
      </c>
      <c r="D24">
        <v>5</v>
      </c>
      <c r="E24">
        <v>4.5</v>
      </c>
      <c r="F24" s="2">
        <v>18.28</v>
      </c>
      <c r="G24" s="2">
        <v>0.64</v>
      </c>
      <c r="H24" s="2">
        <f t="shared" si="0"/>
        <v>1.2544</v>
      </c>
    </row>
    <row r="25" spans="1:8" x14ac:dyDescent="0.25">
      <c r="A25">
        <v>3</v>
      </c>
      <c r="B25" s="1">
        <v>0.1451388888888889</v>
      </c>
      <c r="C25" s="2">
        <v>0.68</v>
      </c>
      <c r="D25">
        <v>5</v>
      </c>
      <c r="E25">
        <v>4.5</v>
      </c>
      <c r="F25" s="2">
        <v>18.27</v>
      </c>
      <c r="G25" s="2">
        <v>0.64</v>
      </c>
      <c r="H25" s="2">
        <f t="shared" si="0"/>
        <v>1.2544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D3E0-627E-46C4-9F5C-78DC9FF83150}">
  <dimension ref="A1:H25"/>
  <sheetViews>
    <sheetView workbookViewId="0">
      <selection activeCell="C1" sqref="C1:C1048576"/>
    </sheetView>
  </sheetViews>
  <sheetFormatPr defaultRowHeight="15" x14ac:dyDescent="0.25"/>
  <cols>
    <col min="4" max="4" width="17.140625" bestFit="1" customWidth="1"/>
    <col min="5" max="5" width="14.140625" bestFit="1" customWidth="1"/>
    <col min="6" max="6" width="19.42578125" bestFit="1" customWidth="1"/>
    <col min="7" max="7" width="11.28515625" bestFit="1" customWidth="1"/>
    <col min="8" max="8" width="8.5703125" bestFit="1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s="2" t="s">
        <v>5</v>
      </c>
      <c r="G1" s="2" t="s">
        <v>3</v>
      </c>
      <c r="H1" s="2" t="s">
        <v>6</v>
      </c>
    </row>
    <row r="2" spans="1:8" x14ac:dyDescent="0.25">
      <c r="A2">
        <v>1</v>
      </c>
      <c r="B2" s="1">
        <v>1.3888888888888889E-3</v>
      </c>
      <c r="C2" s="2">
        <v>0.98</v>
      </c>
      <c r="D2">
        <v>5</v>
      </c>
      <c r="E2">
        <v>4.5</v>
      </c>
      <c r="F2" s="2">
        <v>23.94</v>
      </c>
      <c r="G2" s="2">
        <v>0.72</v>
      </c>
      <c r="H2" s="2">
        <f>G2*1.96</f>
        <v>1.4112</v>
      </c>
    </row>
    <row r="3" spans="1:8" x14ac:dyDescent="0.25">
      <c r="A3">
        <v>1</v>
      </c>
      <c r="B3" s="1">
        <v>2.0833333333333332E-2</v>
      </c>
      <c r="C3" s="2">
        <v>0.98</v>
      </c>
      <c r="D3">
        <v>5</v>
      </c>
      <c r="E3">
        <v>4.5</v>
      </c>
      <c r="F3" s="2">
        <v>24</v>
      </c>
      <c r="G3" s="2">
        <v>0.7</v>
      </c>
      <c r="H3" s="2">
        <f t="shared" ref="H3:H25" si="0">G3*1.96</f>
        <v>1.3719999999999999</v>
      </c>
    </row>
    <row r="4" spans="1:8" x14ac:dyDescent="0.25">
      <c r="A4">
        <v>1</v>
      </c>
      <c r="B4" s="1">
        <v>4.2361111111111113E-2</v>
      </c>
      <c r="C4" s="2">
        <v>0.98</v>
      </c>
      <c r="D4">
        <v>5</v>
      </c>
      <c r="E4">
        <v>4.5</v>
      </c>
      <c r="F4" s="2">
        <v>24.14</v>
      </c>
      <c r="G4" s="2">
        <v>0.69</v>
      </c>
      <c r="H4" s="2">
        <f t="shared" si="0"/>
        <v>1.3523999999999998</v>
      </c>
    </row>
    <row r="5" spans="1:8" x14ac:dyDescent="0.25">
      <c r="A5">
        <v>1</v>
      </c>
      <c r="B5" s="1">
        <v>6.25E-2</v>
      </c>
      <c r="C5" s="2">
        <v>0.98</v>
      </c>
      <c r="D5">
        <v>5</v>
      </c>
      <c r="E5">
        <v>4.5</v>
      </c>
      <c r="F5" s="2">
        <v>24.18</v>
      </c>
      <c r="G5" s="2">
        <v>0.69</v>
      </c>
      <c r="H5" s="2">
        <f t="shared" si="0"/>
        <v>1.3523999999999998</v>
      </c>
    </row>
    <row r="6" spans="1:8" x14ac:dyDescent="0.25">
      <c r="A6">
        <v>1</v>
      </c>
      <c r="B6" s="1">
        <v>8.4027777777777785E-2</v>
      </c>
      <c r="C6" s="2">
        <v>0.98</v>
      </c>
      <c r="D6">
        <v>5</v>
      </c>
      <c r="E6">
        <v>4.5</v>
      </c>
      <c r="F6" s="2">
        <v>24.21</v>
      </c>
      <c r="G6" s="2">
        <v>0.69</v>
      </c>
      <c r="H6" s="2">
        <f t="shared" si="0"/>
        <v>1.3523999999999998</v>
      </c>
    </row>
    <row r="7" spans="1:8" x14ac:dyDescent="0.25">
      <c r="A7">
        <v>1</v>
      </c>
      <c r="B7" s="1">
        <v>0.10208333333333333</v>
      </c>
      <c r="C7" s="2">
        <v>0.98</v>
      </c>
      <c r="D7">
        <v>5</v>
      </c>
      <c r="E7">
        <v>4.5</v>
      </c>
      <c r="F7" s="2">
        <v>24.22</v>
      </c>
      <c r="G7" s="2">
        <v>0.69</v>
      </c>
      <c r="H7" s="2">
        <f t="shared" si="0"/>
        <v>1.3523999999999998</v>
      </c>
    </row>
    <row r="8" spans="1:8" x14ac:dyDescent="0.25">
      <c r="A8">
        <v>1</v>
      </c>
      <c r="B8" s="1">
        <v>0.11944444444444445</v>
      </c>
      <c r="C8" s="2">
        <v>0.98</v>
      </c>
      <c r="D8">
        <v>5</v>
      </c>
      <c r="E8">
        <v>4.5</v>
      </c>
      <c r="F8" s="2">
        <v>24.23</v>
      </c>
      <c r="G8" s="2">
        <v>0.69</v>
      </c>
      <c r="H8" s="2">
        <f t="shared" si="0"/>
        <v>1.3523999999999998</v>
      </c>
    </row>
    <row r="9" spans="1:8" x14ac:dyDescent="0.25">
      <c r="A9">
        <v>1</v>
      </c>
      <c r="B9" s="1">
        <v>0.14444444444444443</v>
      </c>
      <c r="C9" s="2">
        <v>0.98</v>
      </c>
      <c r="D9">
        <v>5</v>
      </c>
      <c r="E9">
        <v>4.5</v>
      </c>
      <c r="F9" s="2">
        <v>24.23</v>
      </c>
      <c r="G9" s="2">
        <v>0.7</v>
      </c>
      <c r="H9" s="2">
        <f t="shared" si="0"/>
        <v>1.3719999999999999</v>
      </c>
    </row>
    <row r="10" spans="1:8" x14ac:dyDescent="0.25">
      <c r="A10">
        <v>2</v>
      </c>
      <c r="B10" s="1">
        <v>2.7777777777777779E-3</v>
      </c>
      <c r="C10" s="2">
        <v>0.98</v>
      </c>
      <c r="D10">
        <v>5</v>
      </c>
      <c r="E10">
        <v>4.5</v>
      </c>
      <c r="F10" s="2">
        <v>22.48</v>
      </c>
      <c r="G10" s="2">
        <v>0.62</v>
      </c>
      <c r="H10" s="2">
        <f t="shared" si="0"/>
        <v>1.2152000000000001</v>
      </c>
    </row>
    <row r="11" spans="1:8" x14ac:dyDescent="0.25">
      <c r="A11">
        <v>2</v>
      </c>
      <c r="B11" s="1">
        <v>4.5138888888888888E-2</v>
      </c>
      <c r="C11" s="2">
        <v>0.98</v>
      </c>
      <c r="D11">
        <v>5</v>
      </c>
      <c r="E11">
        <v>4.5</v>
      </c>
      <c r="F11" s="2">
        <v>22.55</v>
      </c>
      <c r="G11" s="2">
        <v>0.65</v>
      </c>
      <c r="H11" s="2">
        <f t="shared" si="0"/>
        <v>1.274</v>
      </c>
    </row>
    <row r="12" spans="1:8" x14ac:dyDescent="0.25">
      <c r="A12">
        <v>2</v>
      </c>
      <c r="B12" s="1">
        <v>4.2361111111111113E-2</v>
      </c>
      <c r="C12" s="2">
        <v>0.98</v>
      </c>
      <c r="D12">
        <v>5</v>
      </c>
      <c r="E12">
        <v>4.5</v>
      </c>
      <c r="F12" s="2">
        <v>22.58</v>
      </c>
      <c r="G12" s="2">
        <v>0.63</v>
      </c>
      <c r="H12" s="2">
        <f t="shared" si="0"/>
        <v>1.2347999999999999</v>
      </c>
    </row>
    <row r="13" spans="1:8" x14ac:dyDescent="0.25">
      <c r="A13">
        <v>2</v>
      </c>
      <c r="B13" s="1">
        <v>6.25E-2</v>
      </c>
      <c r="C13" s="2">
        <v>0.98</v>
      </c>
      <c r="D13">
        <v>5</v>
      </c>
      <c r="E13">
        <v>4.5</v>
      </c>
      <c r="F13" s="2">
        <v>22.59</v>
      </c>
      <c r="G13" s="2">
        <v>0.63</v>
      </c>
      <c r="H13" s="2">
        <f t="shared" si="0"/>
        <v>1.2347999999999999</v>
      </c>
    </row>
    <row r="14" spans="1:8" x14ac:dyDescent="0.25">
      <c r="A14">
        <v>2</v>
      </c>
      <c r="B14" s="1">
        <v>9.375E-2</v>
      </c>
      <c r="C14" s="2">
        <v>0.98</v>
      </c>
      <c r="D14">
        <v>5</v>
      </c>
      <c r="E14">
        <v>4.5</v>
      </c>
      <c r="F14" s="2">
        <v>22.6</v>
      </c>
      <c r="G14" s="2">
        <v>0.64</v>
      </c>
      <c r="H14" s="2">
        <f t="shared" si="0"/>
        <v>1.2544</v>
      </c>
    </row>
    <row r="15" spans="1:8" x14ac:dyDescent="0.25">
      <c r="A15">
        <v>2</v>
      </c>
      <c r="B15" s="1">
        <v>0.10416666666666667</v>
      </c>
      <c r="C15" s="2">
        <v>0.98</v>
      </c>
      <c r="D15">
        <v>5</v>
      </c>
      <c r="E15">
        <v>4.5</v>
      </c>
      <c r="F15" s="2">
        <v>22.6</v>
      </c>
      <c r="G15" s="2">
        <v>0.64</v>
      </c>
      <c r="H15" s="2">
        <f t="shared" si="0"/>
        <v>1.2544</v>
      </c>
    </row>
    <row r="16" spans="1:8" x14ac:dyDescent="0.25">
      <c r="A16">
        <v>2</v>
      </c>
      <c r="B16" s="1">
        <v>0.12291666666666666</v>
      </c>
      <c r="C16" s="2">
        <v>0.98</v>
      </c>
      <c r="D16">
        <v>5</v>
      </c>
      <c r="E16">
        <v>4.5</v>
      </c>
      <c r="F16" s="2">
        <v>22.6</v>
      </c>
      <c r="G16" s="2">
        <v>0.64</v>
      </c>
      <c r="H16" s="2">
        <f t="shared" si="0"/>
        <v>1.2544</v>
      </c>
    </row>
    <row r="17" spans="1:8" x14ac:dyDescent="0.25">
      <c r="A17">
        <v>2</v>
      </c>
      <c r="B17" s="1">
        <v>0.13819444444444445</v>
      </c>
      <c r="C17" s="2">
        <v>0.98</v>
      </c>
      <c r="D17">
        <v>5</v>
      </c>
      <c r="E17">
        <v>4.5</v>
      </c>
      <c r="F17" s="2">
        <v>22.59</v>
      </c>
      <c r="G17" s="2">
        <v>0.64</v>
      </c>
      <c r="H17" s="2">
        <f t="shared" si="0"/>
        <v>1.2544</v>
      </c>
    </row>
    <row r="18" spans="1:8" x14ac:dyDescent="0.25">
      <c r="A18">
        <v>3</v>
      </c>
      <c r="B18" s="1">
        <v>1.3888888888888889E-3</v>
      </c>
      <c r="C18" s="2">
        <v>0.98</v>
      </c>
      <c r="D18">
        <v>5</v>
      </c>
      <c r="E18">
        <v>4.5</v>
      </c>
      <c r="F18" s="2">
        <v>21.89</v>
      </c>
      <c r="G18" s="2">
        <v>0.73</v>
      </c>
      <c r="H18" s="2">
        <f t="shared" si="0"/>
        <v>1.4307999999999998</v>
      </c>
    </row>
    <row r="19" spans="1:8" x14ac:dyDescent="0.25">
      <c r="A19">
        <v>3</v>
      </c>
      <c r="B19" s="1">
        <v>2.0833333333333332E-2</v>
      </c>
      <c r="C19" s="2">
        <v>0.98</v>
      </c>
      <c r="D19">
        <v>5</v>
      </c>
      <c r="E19">
        <v>4.5</v>
      </c>
      <c r="F19" s="2">
        <v>19.84</v>
      </c>
      <c r="G19" s="2">
        <v>0.75</v>
      </c>
      <c r="H19" s="2">
        <f t="shared" si="0"/>
        <v>1.47</v>
      </c>
    </row>
    <row r="20" spans="1:8" x14ac:dyDescent="0.25">
      <c r="A20">
        <v>3</v>
      </c>
      <c r="B20" s="1">
        <v>4.1666666666666664E-2</v>
      </c>
      <c r="C20" s="2">
        <v>0.98</v>
      </c>
      <c r="D20">
        <v>5</v>
      </c>
      <c r="E20">
        <v>4.5</v>
      </c>
      <c r="F20" s="2">
        <v>19.100000000000001</v>
      </c>
      <c r="G20" s="2">
        <v>0.72</v>
      </c>
      <c r="H20" s="2">
        <f t="shared" si="0"/>
        <v>1.4112</v>
      </c>
    </row>
    <row r="21" spans="1:8" x14ac:dyDescent="0.25">
      <c r="A21">
        <v>3</v>
      </c>
      <c r="B21" s="1">
        <v>7.013888888888889E-2</v>
      </c>
      <c r="C21" s="2">
        <v>0.98</v>
      </c>
      <c r="D21">
        <v>5</v>
      </c>
      <c r="E21">
        <v>4.5</v>
      </c>
      <c r="F21" s="2">
        <v>18.7</v>
      </c>
      <c r="G21" s="2">
        <v>0.71</v>
      </c>
      <c r="H21" s="2">
        <f t="shared" si="0"/>
        <v>1.3915999999999999</v>
      </c>
    </row>
    <row r="22" spans="1:8" x14ac:dyDescent="0.25">
      <c r="A22">
        <v>3</v>
      </c>
      <c r="B22" s="1">
        <v>8.5416666666666669E-2</v>
      </c>
      <c r="C22" s="2">
        <v>0.98</v>
      </c>
      <c r="D22">
        <v>5</v>
      </c>
      <c r="E22">
        <v>4.5</v>
      </c>
      <c r="F22" s="2">
        <v>18.559999999999999</v>
      </c>
      <c r="G22" s="2">
        <v>0.72</v>
      </c>
      <c r="H22" s="2">
        <f t="shared" si="0"/>
        <v>1.4112</v>
      </c>
    </row>
    <row r="23" spans="1:8" x14ac:dyDescent="0.25">
      <c r="A23">
        <v>3</v>
      </c>
      <c r="B23" s="1">
        <v>0.10416666666666667</v>
      </c>
      <c r="C23" s="2">
        <v>0.98</v>
      </c>
      <c r="D23">
        <v>5</v>
      </c>
      <c r="E23">
        <v>4.5</v>
      </c>
      <c r="F23" s="2">
        <v>18.48</v>
      </c>
      <c r="G23" s="2">
        <v>0.72</v>
      </c>
      <c r="H23" s="2">
        <f t="shared" si="0"/>
        <v>1.4112</v>
      </c>
    </row>
    <row r="24" spans="1:8" x14ac:dyDescent="0.25">
      <c r="A24">
        <v>3</v>
      </c>
      <c r="B24" s="1">
        <v>0.125</v>
      </c>
      <c r="C24" s="2">
        <v>0.98</v>
      </c>
      <c r="D24">
        <v>5</v>
      </c>
      <c r="E24">
        <v>4.5</v>
      </c>
      <c r="F24" s="2">
        <v>18.41</v>
      </c>
      <c r="G24" s="2">
        <v>0.71</v>
      </c>
      <c r="H24" s="2">
        <f t="shared" si="0"/>
        <v>1.3915999999999999</v>
      </c>
    </row>
    <row r="25" spans="1:8" x14ac:dyDescent="0.25">
      <c r="A25">
        <v>3</v>
      </c>
      <c r="B25" s="1">
        <v>0.14374999999999999</v>
      </c>
      <c r="C25" s="2">
        <v>0.98</v>
      </c>
      <c r="D25">
        <v>5</v>
      </c>
      <c r="E25">
        <v>4.5</v>
      </c>
      <c r="F25" s="2">
        <v>18.36</v>
      </c>
      <c r="G25" s="2">
        <v>0.71</v>
      </c>
      <c r="H25" s="2">
        <f t="shared" si="0"/>
        <v>1.3915999999999999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3LPM Low</vt:lpstr>
      <vt:lpstr>3LPM Med</vt:lpstr>
      <vt:lpstr>3LPM High</vt:lpstr>
      <vt:lpstr>4.5LPM Low</vt:lpstr>
      <vt:lpstr>4.5LPM Med</vt:lpstr>
      <vt:lpstr>4.5LPM 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 [C B E]</dc:creator>
  <cp:lastModifiedBy>Jean, Alexandra B</cp:lastModifiedBy>
  <dcterms:created xsi:type="dcterms:W3CDTF">2025-09-23T18:12:51Z</dcterms:created>
  <dcterms:modified xsi:type="dcterms:W3CDTF">2025-11-21T15:13:55Z</dcterms:modified>
</cp:coreProperties>
</file>